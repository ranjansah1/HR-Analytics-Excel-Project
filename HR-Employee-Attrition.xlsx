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ngu\Downloads\"/>
    </mc:Choice>
  </mc:AlternateContent>
  <xr:revisionPtr revIDLastSave="0" documentId="13_ncr:1_{35D77F55-0CB9-40F2-8F06-82F102943A09}" xr6:coauthVersionLast="47" xr6:coauthVersionMax="47" xr10:uidLastSave="{00000000-0000-0000-0000-000000000000}"/>
  <bookViews>
    <workbookView xWindow="-108" yWindow="-108" windowWidth="23256" windowHeight="12456" firstSheet="1" activeTab="1" xr2:uid="{08444657-B8C4-45CE-9D26-DC94003EE4B1}"/>
  </bookViews>
  <sheets>
    <sheet name="Raw Data" sheetId="1" r:id="rId1"/>
    <sheet name="DASHBOARD" sheetId="10" r:id="rId2"/>
    <sheet name="Salary Band" sheetId="11" r:id="rId3"/>
    <sheet name="Working Data" sheetId="2" r:id="rId4"/>
    <sheet name="Salary Analysis" sheetId="3" r:id="rId5"/>
    <sheet name="Performance" sheetId="4" r:id="rId6"/>
    <sheet name="Hiring Trends" sheetId="5" r:id="rId7"/>
    <sheet name="Gender Pay" sheetId="6" r:id="rId8"/>
    <sheet name="Overtime Impact" sheetId="7" r:id="rId9"/>
  </sheets>
  <calcPr calcId="191029"/>
  <pivotCaches>
    <pivotCache cacheId="2" r:id="rId10"/>
  </pivotCaches>
</workbook>
</file>

<file path=xl/calcChain.xml><?xml version="1.0" encoding="utf-8"?>
<calcChain xmlns="http://schemas.openxmlformats.org/spreadsheetml/2006/main">
  <c r="AA1" i="10" l="1"/>
  <c r="AO7" i="2"/>
  <c r="AO6" i="2"/>
  <c r="AO5" i="2"/>
  <c r="AO4" i="2"/>
  <c r="AN4" i="2"/>
  <c r="AN7" i="2"/>
  <c r="AN6" i="2"/>
  <c r="AN5" i="2"/>
  <c r="AA2" i="10"/>
  <c r="AB2" i="10"/>
  <c r="AB1" i="10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2" i="2"/>
</calcChain>
</file>

<file path=xl/sharedStrings.xml><?xml version="1.0" encoding="utf-8"?>
<sst xmlns="http://schemas.openxmlformats.org/spreadsheetml/2006/main" count="25111" uniqueCount="87">
  <si>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</si>
  <si>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</si>
  <si>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</si>
  <si>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</si>
  <si>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</si>
  <si>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</si>
  <si>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</si>
  <si>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</si>
  <si>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</si>
  <si>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</si>
  <si>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</si>
  <si>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</si>
  <si>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</si>
  <si>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</si>
  <si>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</si>
  <si>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</si>
  <si>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</si>
  <si>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</si>
  <si>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</si>
  <si>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</si>
  <si>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</si>
  <si>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</si>
  <si>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</si>
  <si>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</si>
  <si>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</si>
  <si>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</si>
  <si>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</si>
  <si>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</si>
  <si>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</si>
  <si>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</si>
  <si>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</si>
  <si>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</si>
  <si>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</si>
  <si>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</si>
  <si>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</si>
  <si>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</si>
  <si>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</si>
  <si>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</si>
  <si>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</si>
  <si>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</si>
  <si>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</si>
  <si>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</si>
  <si>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</si>
  <si>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</si>
  <si>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</si>
  <si>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</si>
  <si>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</si>
  <si>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</si>
  <si>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</si>
  <si>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</si>
  <si>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</si>
  <si>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</si>
  <si>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</si>
  <si>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</si>
  <si>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</si>
  <si>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</si>
  <si>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</si>
  <si>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</si>
  <si>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</si>
  <si>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</si>
  <si>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</si>
  <si>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</si>
  <si>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Band</t>
  </si>
  <si>
    <t>Salary Band</t>
  </si>
  <si>
    <t>Tenure Group</t>
  </si>
  <si>
    <t>Performance Label</t>
  </si>
  <si>
    <t>Satisfaction Score</t>
  </si>
  <si>
    <t>Annual Income</t>
  </si>
  <si>
    <t>Row Labels</t>
  </si>
  <si>
    <t>Grand Total</t>
  </si>
  <si>
    <t>Average of MonthlyIncome</t>
  </si>
  <si>
    <t>Column Labels</t>
  </si>
  <si>
    <t>20-25</t>
  </si>
  <si>
    <t>26-35</t>
  </si>
  <si>
    <t>36-45</t>
  </si>
  <si>
    <t>46+</t>
  </si>
  <si>
    <t>Count of EmployeeNumber</t>
  </si>
  <si>
    <t>Good</t>
  </si>
  <si>
    <t>Count of Attrition</t>
  </si>
  <si>
    <t>Excellent</t>
  </si>
  <si>
    <t>Avg salary by department</t>
  </si>
  <si>
    <t>Salary Band Count</t>
  </si>
  <si>
    <t>High (6-10K)</t>
  </si>
  <si>
    <t>Low (0-3K)</t>
  </si>
  <si>
    <t>Mid (3-6K)</t>
  </si>
  <si>
    <t>Very High (10K+)</t>
  </si>
  <si>
    <r>
      <rPr>
        <b/>
        <sz val="18"/>
        <color theme="0"/>
        <rFont val="Arial"/>
        <family val="2"/>
      </rPr>
      <t xml:space="preserve">HR Analytics Dashboard </t>
    </r>
    <r>
      <rPr>
        <b/>
        <sz val="16"/>
        <color theme="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</si>
</sst>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₹&quot;\ #,##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6"/>
      <color theme="0"/>
      <name val="Arial"/>
      <family val="2"/>
    </font>
    <font>
      <sz val="11"/>
      <color rgb="FF1E2A3A"/>
      <name val="Calibri"/>
      <family val="2"/>
      <scheme val="minor"/>
    </font>
    <font>
      <b/>
      <sz val="18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2A3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9" fillId="33" borderId="0" xfId="0" applyFont="1" applyFill="1" applyAlignment="1">
      <alignment vertical="center"/>
    </xf>
    <xf numFmtId="1" fontId="0" fillId="0" borderId="0" xfId="0" applyNumberFormat="1"/>
    <xf numFmtId="0" fontId="0" fillId="0" borderId="0" xfId="0" applyNumberFormat="1"/>
    <xf numFmtId="3" fontId="20" fillId="33" borderId="0" xfId="0" applyNumberFormat="1" applyFont="1" applyFill="1"/>
    <xf numFmtId="165" fontId="20" fillId="33" borderId="0" xfId="0" applyNumberFormat="1" applyFont="1" applyFill="1"/>
    <xf numFmtId="2" fontId="20" fillId="33" borderId="0" xfId="0" applyNumberFormat="1" applyFont="1" applyFill="1"/>
    <xf numFmtId="164" fontId="20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colors>
    <mruColors>
      <color rgb="FF253347"/>
      <color rgb="FF1E2A3A"/>
      <color rgb="FFE8A020"/>
      <color rgb="FFE24B4A"/>
      <color rgb="FF3DAA7A"/>
      <color rgb="FF8B6FCC"/>
      <color rgb="FF4A8FCC"/>
      <color rgb="FF1A2535"/>
      <color rgb="FF7AB8FF"/>
      <color rgb="FF2E6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[HR-Employee-Attrition.xlsx]Salary Analysis!PivotTable1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99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E4E4EF-BE8F-436D-9646-7DE89117137E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CC66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5936FE-3670-4649-B143-D3C280977810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66FF6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0D133A-1DA7-4741-81E2-530814DC129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399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E4E4EF-BE8F-436D-9646-7DE89117137E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CC66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5936FE-3670-4649-B143-D3C280977810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66FF6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0D133A-1DA7-4741-81E2-530814DC129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AB8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E4E4EF-BE8F-436D-9646-7DE89117137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rgbClr val="2E6099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5936FE-3670-4649-B143-D3C280977810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4A8FCC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0D133A-1DA7-4741-81E2-530814DC129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AB8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52-4713-A3D6-0DEC10413EEE}"/>
              </c:ext>
            </c:extLst>
          </c:dPt>
          <c:dPt>
            <c:idx val="1"/>
            <c:invertIfNegative val="0"/>
            <c:bubble3D val="0"/>
            <c:spPr>
              <a:solidFill>
                <a:srgbClr val="2E60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52-4713-A3D6-0DEC10413EEE}"/>
              </c:ext>
            </c:extLst>
          </c:dPt>
          <c:dPt>
            <c:idx val="2"/>
            <c:invertIfNegative val="0"/>
            <c:bubble3D val="0"/>
            <c:spPr>
              <a:solidFill>
                <a:srgbClr val="4A8F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52-4713-A3D6-0DEC10413EE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E4E4EF-BE8F-436D-9646-7DE89117137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252-4713-A3D6-0DEC10413E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5936FE-3670-4649-B143-D3C280977810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252-4713-A3D6-0DEC10413E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0D133A-1DA7-4741-81E2-530814DC129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252-4713-A3D6-0DEC10413EEE}"/>
                </c:ext>
              </c:extLst>
            </c:dLbl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'Salary Analysis'!$B$4:$B$7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52-4713-A3D6-0DEC10413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627120"/>
        <c:axId val="1123630000"/>
      </c:barChart>
      <c:catAx>
        <c:axId val="1123627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30000"/>
        <c:crosses val="autoZero"/>
        <c:auto val="1"/>
        <c:lblAlgn val="ctr"/>
        <c:lblOffset val="100"/>
        <c:noMultiLvlLbl val="0"/>
      </c:catAx>
      <c:valAx>
        <c:axId val="1123630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3627120"/>
        <c:crosses val="autoZero"/>
        <c:crossBetween val="between"/>
      </c:valAx>
      <c:spPr>
        <a:solidFill>
          <a:srgbClr val="25334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4A8F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25-40F2-A6F4-609A647CB87C}"/>
              </c:ext>
            </c:extLst>
          </c:dPt>
          <c:dPt>
            <c:idx val="1"/>
            <c:bubble3D val="0"/>
            <c:spPr>
              <a:solidFill>
                <a:srgbClr val="3DAA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25-40F2-A6F4-609A647CB87C}"/>
              </c:ext>
            </c:extLst>
          </c:dPt>
          <c:dLbls>
            <c:dLbl>
              <c:idx val="0"/>
              <c:layout>
                <c:manualLayout>
                  <c:x val="0.28333333333333333"/>
                  <c:y val="-0.2361111111111111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25-40F2-A6F4-609A647CB87C}"/>
                </c:ext>
              </c:extLst>
            </c:dLbl>
            <c:dLbl>
              <c:idx val="1"/>
              <c:layout>
                <c:manualLayout>
                  <c:x val="0.45534579749180043"/>
                  <c:y val="0.16666666666666657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25-40F2-A6F4-609A647CB8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(Performance!$A$12,Performance!$A$13)</c:f>
              <c:strCache>
                <c:ptCount val="2"/>
                <c:pt idx="0">
                  <c:v>Good</c:v>
                </c:pt>
                <c:pt idx="1">
                  <c:v>Excellent</c:v>
                </c:pt>
              </c:strCache>
            </c:strRef>
          </c:cat>
          <c:val>
            <c:numRef>
              <c:f>(Performance!$B$12,Performance!$B$13)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5-40F2-A6F4-609A647CB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[HR-Employee-Attrition.xlsx]Hiring Trends!PivotTable3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0" cap="sq"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A8FCC"/>
          </a:solidFill>
          <a:ln w="0" cap="sq">
            <a:noFill/>
          </a:ln>
          <a:effectLst>
            <a:softEdge rad="0"/>
          </a:effectLst>
        </c:spPr>
      </c:pivotFmt>
      <c:pivotFmt>
        <c:idx val="4"/>
        <c:spPr>
          <a:solidFill>
            <a:srgbClr val="3DAA7A"/>
          </a:solidFill>
          <a:ln w="0" cap="sq">
            <a:noFill/>
          </a:ln>
          <a:effectLst>
            <a:softEdge rad="0"/>
          </a:effectLst>
        </c:spPr>
      </c:pivotFmt>
      <c:pivotFmt>
        <c:idx val="5"/>
        <c:spPr>
          <a:solidFill>
            <a:srgbClr val="4A8FCC"/>
          </a:solidFill>
          <a:ln w="0" cap="sq">
            <a:noFill/>
          </a:ln>
          <a:effectLst>
            <a:softEdge rad="0"/>
          </a:effectLst>
        </c:spPr>
      </c:pivotFmt>
      <c:pivotFmt>
        <c:idx val="6"/>
        <c:spPr>
          <a:solidFill>
            <a:srgbClr val="8B6FCC"/>
          </a:solidFill>
          <a:ln w="0" cap="sq">
            <a:noFill/>
          </a:ln>
          <a:effectLst>
            <a:softEdge rad="0"/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'Hiring Trends'!$B$3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0" cap="sq"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4A8FCC"/>
              </a:solidFill>
              <a:ln w="0" cap="sq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160B-4DDC-A08D-4CA7F97D6997}"/>
              </c:ext>
            </c:extLst>
          </c:dPt>
          <c:dPt>
            <c:idx val="1"/>
            <c:invertIfNegative val="0"/>
            <c:bubble3D val="0"/>
            <c:spPr>
              <a:solidFill>
                <a:srgbClr val="3DAA7A"/>
              </a:solidFill>
              <a:ln w="0" cap="sq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160B-4DDC-A08D-4CA7F97D6997}"/>
              </c:ext>
            </c:extLst>
          </c:dPt>
          <c:dPt>
            <c:idx val="2"/>
            <c:invertIfNegative val="0"/>
            <c:bubble3D val="0"/>
            <c:spPr>
              <a:solidFill>
                <a:srgbClr val="4A8FCC"/>
              </a:solidFill>
              <a:ln w="0" cap="sq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160B-4DDC-A08D-4CA7F97D6997}"/>
              </c:ext>
            </c:extLst>
          </c:dPt>
          <c:dPt>
            <c:idx val="3"/>
            <c:invertIfNegative val="0"/>
            <c:bubble3D val="0"/>
            <c:spPr>
              <a:solidFill>
                <a:srgbClr val="8B6FCC"/>
              </a:solidFill>
              <a:ln w="0" cap="sq"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4-160B-4DDC-A08D-4CA7F97D69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'Hiring Trends'!$A$4:$A$8</c:f>
              <c:strCache>
                <c:ptCount val="4"/>
                <c:pt idx="0">
                  <c:v>20-25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'Hiring Trends'!$B$4:$B$8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B-4DDC-A08D-4CA7F97D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6208591"/>
        <c:axId val="2036211471"/>
      </c:barChart>
      <c:catAx>
        <c:axId val="203620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11471"/>
        <c:crosses val="autoZero"/>
        <c:auto val="1"/>
        <c:lblAlgn val="ctr"/>
        <c:lblOffset val="100"/>
        <c:noMultiLvlLbl val="0"/>
      </c:catAx>
      <c:valAx>
        <c:axId val="2036211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620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[HR-Employee-Attrition.xlsx]Salary Band!PivotTable1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8A020"/>
          </a:solidFill>
          <a:ln>
            <a:noFill/>
          </a:ln>
          <a:effectLst/>
        </c:spPr>
      </c:pivotFmt>
      <c:pivotFmt>
        <c:idx val="6"/>
        <c:spPr>
          <a:solidFill>
            <a:srgbClr val="3DAA7A"/>
          </a:solidFill>
          <a:ln>
            <a:noFill/>
          </a:ln>
          <a:effectLst/>
        </c:spPr>
      </c:pivotFmt>
      <c:pivotFmt>
        <c:idx val="7"/>
        <c:spPr>
          <a:solidFill>
            <a:srgbClr val="4A8FCC"/>
          </a:solidFill>
          <a:ln>
            <a:noFill/>
          </a:ln>
          <a:effectLst/>
        </c:spPr>
      </c:pivotFmt>
      <c:pivotFmt>
        <c:idx val="8"/>
        <c:spPr>
          <a:solidFill>
            <a:srgbClr val="8B6FCC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Band'!$B$3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A0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46-422B-8420-0E4C91FBC3AF}"/>
              </c:ext>
            </c:extLst>
          </c:dPt>
          <c:dPt>
            <c:idx val="1"/>
            <c:invertIfNegative val="0"/>
            <c:bubble3D val="0"/>
            <c:spPr>
              <a:solidFill>
                <a:srgbClr val="3DAA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46-422B-8420-0E4C91FBC3AF}"/>
              </c:ext>
            </c:extLst>
          </c:dPt>
          <c:dPt>
            <c:idx val="2"/>
            <c:invertIfNegative val="0"/>
            <c:bubble3D val="0"/>
            <c:spPr>
              <a:solidFill>
                <a:srgbClr val="4A8F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46-422B-8420-0E4C91FBC3AF}"/>
              </c:ext>
            </c:extLst>
          </c:dPt>
          <c:dPt>
            <c:idx val="3"/>
            <c:invertIfNegative val="0"/>
            <c:bubble3D val="0"/>
            <c:spPr>
              <a:solidFill>
                <a:srgbClr val="8B6F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46-422B-8420-0E4C91FBC3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Band'!$A$4:$A$8</c:f>
              <c:strCache>
                <c:ptCount val="4"/>
                <c:pt idx="0">
                  <c:v>Low (0-3K)</c:v>
                </c:pt>
                <c:pt idx="1">
                  <c:v>Mid (3-6K)</c:v>
                </c:pt>
                <c:pt idx="2">
                  <c:v>High (6-10K)</c:v>
                </c:pt>
                <c:pt idx="3">
                  <c:v>Very High (10K+)</c:v>
                </c:pt>
              </c:strCache>
            </c:strRef>
          </c:cat>
          <c:val>
            <c:numRef>
              <c:f>'Salary Band'!$B$4:$B$8</c:f>
              <c:numCache>
                <c:formatCode>General</c:formatCode>
                <c:ptCount val="4"/>
                <c:pt idx="0">
                  <c:v>395</c:v>
                </c:pt>
                <c:pt idx="1">
                  <c:v>519</c:v>
                </c:pt>
                <c:pt idx="2">
                  <c:v>275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6-422B-8420-0E4C91FBC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2122255"/>
        <c:axId val="1852122735"/>
      </c:barChart>
      <c:catAx>
        <c:axId val="185212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22735"/>
        <c:crosses val="autoZero"/>
        <c:auto val="1"/>
        <c:lblAlgn val="ctr"/>
        <c:lblOffset val="100"/>
        <c:noMultiLvlLbl val="0"/>
      </c:catAx>
      <c:valAx>
        <c:axId val="1852122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222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[HR-Employee-Attrition.xlsx]Gender Pay!PivotTable4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8A02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E8A02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E8A02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E8A02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E8A020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'Gender Pay'!$B$3:$B$4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4A8F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'Gender Pay'!$A$5:$A$10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'Gender Pay'!$B$5:$B$10</c:f>
              <c:numCache>
                <c:formatCode>0</c:formatCode>
                <c:ptCount val="5"/>
                <c:pt idx="0">
                  <c:v>2780.4874371859296</c:v>
                </c:pt>
                <c:pt idx="1">
                  <c:v>5435.3272727272724</c:v>
                </c:pt>
                <c:pt idx="2">
                  <c:v>9962.7021276595751</c:v>
                </c:pt>
                <c:pt idx="3">
                  <c:v>15431.372549019608</c:v>
                </c:pt>
                <c:pt idx="4">
                  <c:v>19129.916666666668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0-46A7-B5B9-A163A29BD510}"/>
            </c:ext>
          </c:extLst>
        </c:ser>
        <c:ser>
          <c:idx val="1"/>
          <c:order val="1"/>
          <c:tx>
            <c:strRef>
              <c:f>'Gender Pay'!$C$3:$C$4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8A02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'Gender Pay'!$A$5:$A$10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'Gender Pay'!$C$5:$C$10</c:f>
              <c:numCache>
                <c:formatCode>0</c:formatCode>
                <c:ptCount val="5"/>
                <c:pt idx="0">
                  <c:v>2790.6337209302324</c:v>
                </c:pt>
                <c:pt idx="1">
                  <c:v>5549.1847133757965</c:v>
                </c:pt>
                <c:pt idx="2">
                  <c:v>9706.9919354838712</c:v>
                </c:pt>
                <c:pt idx="3">
                  <c:v>15570.927272727273</c:v>
                </c:pt>
                <c:pt idx="4">
                  <c:v>19224.844444444443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0-46A7-B5B9-A163A29BD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146207"/>
        <c:axId val="1770139007"/>
      </c:lineChart>
      <c:catAx>
        <c:axId val="17701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9007"/>
        <c:crosses val="autoZero"/>
        <c:auto val="1"/>
        <c:lblAlgn val="ctr"/>
        <c:lblOffset val="100"/>
        <c:noMultiLvlLbl val="0"/>
      </c:catAx>
      <c:valAx>
        <c:axId val="17701390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7701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[HR-Employee-Attrition.xlsx]Overtime Impact!PivotTable5</c:name>
    <c:fmtId val="3"/>
  </c:pivotSource>
  <c:chart>
    <c:autoTitleDeleted val="1"/>
    <c:pivotFmts>
      <c:pivotFmt>
        <c:idx val="0"/>
        <c:spPr>
          <a:solidFill>
            <a:srgbClr val="3DA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24B4A"/>
          </a:solidFill>
          <a:ln>
            <a:noFill/>
          </a:ln>
          <a:effectLst/>
        </c:spPr>
      </c:pivotFmt>
      <c:pivotFmt>
        <c:idx val="2"/>
        <c:spPr>
          <a:solidFill>
            <a:srgbClr val="3DA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24B4A"/>
          </a:solidFill>
          <a:ln>
            <a:noFill/>
          </a:ln>
          <a:effectLst/>
        </c:spPr>
      </c:pivotFmt>
      <c:pivotFmt>
        <c:idx val="4"/>
        <c:spPr>
          <a:solidFill>
            <a:srgbClr val="3DA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24B4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'Overtime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DAA7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24B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A-42B7-A199-57C043448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Impact'!$A$4:$A$6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Impact'!$B$4:$B$6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A-42B7-A199-57C043448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0996303"/>
        <c:axId val="770998703"/>
      </c:barChart>
      <c:catAx>
        <c:axId val="77099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98703"/>
        <c:crosses val="autoZero"/>
        <c:auto val="1"/>
        <c:lblAlgn val="ctr"/>
        <c:lblOffset val="100"/>
        <c:noMultiLvlLbl val="0"/>
      </c:catAx>
      <c:valAx>
        <c:axId val="770998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099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[HR-Employee-Attrition.xlsx]Salary Band!PivotTable1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Band'!$B$3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Band'!$A$4:$A$8</c:f>
              <c:strCache>
                <c:ptCount val="4"/>
                <c:pt idx="0">
                  <c:v>Low (0-3K)</c:v>
                </c:pt>
                <c:pt idx="1">
                  <c:v>Mid (3-6K)</c:v>
                </c:pt>
                <c:pt idx="2">
                  <c:v>High (6-10K)</c:v>
                </c:pt>
                <c:pt idx="3">
                  <c:v>Very High (10K+)</c:v>
                </c:pt>
              </c:strCache>
            </c:strRef>
          </c:cat>
          <c:val>
            <c:numRef>
              <c:f>'Salary Band'!$B$4:$B$8</c:f>
              <c:numCache>
                <c:formatCode>General</c:formatCode>
                <c:ptCount val="4"/>
                <c:pt idx="0">
                  <c:v>395</c:v>
                </c:pt>
                <c:pt idx="1">
                  <c:v>519</c:v>
                </c:pt>
                <c:pt idx="2">
                  <c:v>275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B-40F5-A43F-02648AC41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2122255"/>
        <c:axId val="1852122735"/>
      </c:barChart>
      <c:catAx>
        <c:axId val="185212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22735"/>
        <c:crosses val="autoZero"/>
        <c:auto val="1"/>
        <c:lblAlgn val="ctr"/>
        <c:lblOffset val="100"/>
        <c:noMultiLvlLbl val="0"/>
      </c:catAx>
      <c:valAx>
        <c:axId val="1852122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21222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[HR-Employee-Attrition.xlsx]Salary 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99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CE4E4EF-BE8F-436D-9646-7DE89117137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CC66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5936FE-3670-4649-B143-D3C280977810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66FF6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0D133A-1DA7-4741-81E2-530814DC129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IN"/>
              </a:p>
            </c:rich>
          </c:tx>
          <c:numFmt formatCode="&quot;₹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'Salary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3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91-4A05-8AB9-8F3A71A4E119}"/>
              </c:ext>
            </c:extLst>
          </c:dPt>
          <c:dPt>
            <c:idx val="1"/>
            <c:invertIfNegative val="0"/>
            <c:bubble3D val="0"/>
            <c:spPr>
              <a:solidFill>
                <a:srgbClr val="CC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91-4A05-8AB9-8F3A71A4E119}"/>
              </c:ext>
            </c:extLst>
          </c:dPt>
          <c:dPt>
            <c:idx val="2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91-4A05-8AB9-8F3A71A4E11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E4E4EF-BE8F-436D-9646-7DE89117137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291-4A05-8AB9-8F3A71A4E1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5936FE-3670-4649-B143-D3C280977810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291-4A05-8AB9-8F3A71A4E1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0D133A-1DA7-4741-81E2-530814DC129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291-4A05-8AB9-8F3A71A4E119}"/>
                </c:ext>
              </c:extLst>
            </c:dLbl>
            <c:numFmt formatCode="&quot;₹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'Salary Analysis'!$A$4:$A$7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'Salary Analysis'!$B$4:$B$7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1-4A05-8AB9-8F3A71A4E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627120"/>
        <c:axId val="1123630000"/>
      </c:barChart>
      <c:catAx>
        <c:axId val="1123627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A9BB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30000"/>
        <c:crosses val="autoZero"/>
        <c:auto val="1"/>
        <c:lblAlgn val="ctr"/>
        <c:lblOffset val="100"/>
        <c:noMultiLvlLbl val="0"/>
      </c:catAx>
      <c:valAx>
        <c:axId val="112363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27120"/>
        <c:crosses val="autoZero"/>
        <c:crossBetween val="between"/>
      </c:valAx>
      <c:spPr>
        <a:solidFill>
          <a:srgbClr val="1A2535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4A8FC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60-40E9-A05C-DEC34F2C28B5}"/>
              </c:ext>
            </c:extLst>
          </c:dPt>
          <c:dPt>
            <c:idx val="1"/>
            <c:bubble3D val="0"/>
            <c:spPr>
              <a:solidFill>
                <a:srgbClr val="3DAA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60-40E9-A05C-DEC34F2C28B5}"/>
              </c:ext>
            </c:extLst>
          </c:dPt>
          <c:dLbls>
            <c:dLbl>
              <c:idx val="0"/>
              <c:layout>
                <c:manualLayout>
                  <c:x val="0.28333333333333333"/>
                  <c:y val="-0.2361111111111111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60-40E9-A05C-DEC34F2C28B5}"/>
                </c:ext>
              </c:extLst>
            </c:dLbl>
            <c:dLbl>
              <c:idx val="1"/>
              <c:layout>
                <c:manualLayout>
                  <c:x val="0.45277777777777767"/>
                  <c:y val="0.16666666666666666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60-40E9-A05C-DEC34F2C28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(Performance!$A$12,Performance!$A$13)</c:f>
              <c:strCache>
                <c:ptCount val="2"/>
                <c:pt idx="0">
                  <c:v>Good</c:v>
                </c:pt>
                <c:pt idx="1">
                  <c:v>Excellent</c:v>
                </c:pt>
              </c:strCache>
            </c:strRef>
          </c:cat>
          <c:val>
            <c:numRef>
              <c:f>(Performance!$B$12,Performance!$B$13)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0-40E9-A05C-DEC34F2C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[HR-Employee-Attrition.xlsx]Hiring Trends!PivotTable3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'Hiring Trends'!$B$3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'Hiring Trends'!$A$4:$A$8</c:f>
              <c:strCache>
                <c:ptCount val="4"/>
                <c:pt idx="0">
                  <c:v>20-25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'Hiring Trends'!$B$4:$B$8</c:f>
              <c:numCache>
                <c:formatCode>General</c:formatCode>
                <c:ptCount val="4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2-4B7C-A2CB-301A5732B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6208591"/>
        <c:axId val="2036211471"/>
      </c:barChart>
      <c:catAx>
        <c:axId val="203620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11471"/>
        <c:crosses val="autoZero"/>
        <c:auto val="1"/>
        <c:lblAlgn val="ctr"/>
        <c:lblOffset val="100"/>
        <c:noMultiLvlLbl val="0"/>
      </c:catAx>
      <c:valAx>
        <c:axId val="2036211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620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[HR-Employee-Attrition.xlsx]Gender Pay!PivotTable4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E8A02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A8FC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'Gender Pay'!$B$3:$B$4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4A8F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'Gender Pay'!$A$5:$A$10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'Gender Pay'!$B$5:$B$10</c:f>
              <c:numCache>
                <c:formatCode>0</c:formatCode>
                <c:ptCount val="5"/>
                <c:pt idx="0">
                  <c:v>2780.4874371859296</c:v>
                </c:pt>
                <c:pt idx="1">
                  <c:v>5435.3272727272724</c:v>
                </c:pt>
                <c:pt idx="2">
                  <c:v>9962.7021276595751</c:v>
                </c:pt>
                <c:pt idx="3">
                  <c:v>15431.372549019608</c:v>
                </c:pt>
                <c:pt idx="4">
                  <c:v>19129.916666666668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6-4FDE-B857-60AC98A52585}"/>
            </c:ext>
          </c:extLst>
        </c:ser>
        <c:ser>
          <c:idx val="1"/>
          <c:order val="1"/>
          <c:tx>
            <c:strRef>
              <c:f>'Gender Pay'!$C$3:$C$4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E8A02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'Gender Pay'!$A$5:$A$10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'Gender Pay'!$C$5:$C$10</c:f>
              <c:numCache>
                <c:formatCode>0</c:formatCode>
                <c:ptCount val="5"/>
                <c:pt idx="0">
                  <c:v>2790.6337209302324</c:v>
                </c:pt>
                <c:pt idx="1">
                  <c:v>5549.1847133757965</c:v>
                </c:pt>
                <c:pt idx="2">
                  <c:v>9706.9919354838712</c:v>
                </c:pt>
                <c:pt idx="3">
                  <c:v>15570.927272727273</c:v>
                </c:pt>
                <c:pt idx="4">
                  <c:v>19224.844444444443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76-4FDE-B857-60AC98A52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146207"/>
        <c:axId val="1770139007"/>
      </c:lineChart>
      <c:catAx>
        <c:axId val="17701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39007"/>
        <c:crosses val="autoZero"/>
        <c:auto val="1"/>
        <c:lblAlgn val="ctr"/>
        <c:lblOffset val="100"/>
        <c:noMultiLvlLbl val="0"/>
      </c:catAx>
      <c:valAx>
        <c:axId val="1770139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46207"/>
        <c:crosses val="autoZero"/>
        <c:crossBetween val="between"/>
      </c:valAx>
      <c:spPr>
        <a:solidFill>
          <a:srgbClr val="1A2535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[HR-Employee-Attrition.xlsx]Overtime Impact!PivotTable5</c:name>
    <c:fmtId val="0"/>
  </c:pivotSource>
  <c:chart>
    <c:autoTitleDeleted val="1"/>
    <c:pivotFmts>
      <c:pivotFmt>
        <c:idx val="0"/>
        <c:spPr>
          <a:solidFill>
            <a:srgbClr val="3DAA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24B4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'Overtime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DAA7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24B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C8-423B-9969-3061BCA60507}"/>
              </c:ext>
            </c:extLst>
          </c:dPt>
          <c:cat>
            <c:strRef>
              <c:f>'Overtime Impact'!$A$4:$A$6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Impact'!$B$4:$B$6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8-423B-9969-3061BCA60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0996303"/>
        <c:axId val="770998703"/>
      </c:barChart>
      <c:catAx>
        <c:axId val="77099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98703"/>
        <c:crosses val="autoZero"/>
        <c:auto val="1"/>
        <c:lblAlgn val="ctr"/>
        <c:lblOffset val="100"/>
        <c:noMultiLvlLbl val="0"/>
      </c:catAx>
      <c:valAx>
        <c:axId val="7709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9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76200</xdr:rowOff>
    </xdr:from>
    <xdr:to>
      <xdr:col>11</xdr:col>
      <xdr:colOff>184380</xdr:colOff>
      <xdr:row>9</xdr:row>
      <xdr:rowOff>56040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A450A7A-3F30-C38F-F2AD-E4E426F0A032}"/>
            </a:ext>
          </a:extLst>
        </xdr:cNvPr>
        <xdr:cNvSpPr/>
      </xdr:nvSpPr>
      <xdr:spPr>
        <a:xfrm>
          <a:off x="3649980" y="853440"/>
          <a:ext cx="3240000" cy="1260000"/>
        </a:xfrm>
        <a:prstGeom prst="roundRect">
          <a:avLst/>
        </a:prstGeom>
        <a:solidFill>
          <a:srgbClr val="3DAA7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403860</xdr:colOff>
      <xdr:row>2</xdr:row>
      <xdr:rowOff>76200</xdr:rowOff>
    </xdr:from>
    <xdr:to>
      <xdr:col>16</xdr:col>
      <xdr:colOff>595860</xdr:colOff>
      <xdr:row>9</xdr:row>
      <xdr:rowOff>56040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36D0894-F61A-4D32-295D-7F971CF747A2}"/>
            </a:ext>
          </a:extLst>
        </xdr:cNvPr>
        <xdr:cNvSpPr/>
      </xdr:nvSpPr>
      <xdr:spPr>
        <a:xfrm>
          <a:off x="7109460" y="853440"/>
          <a:ext cx="3240000" cy="1260000"/>
        </a:xfrm>
        <a:prstGeom prst="roundRect">
          <a:avLst/>
        </a:prstGeom>
        <a:solidFill>
          <a:srgbClr val="E8A02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205740</xdr:colOff>
      <xdr:row>2</xdr:row>
      <xdr:rowOff>76200</xdr:rowOff>
    </xdr:from>
    <xdr:to>
      <xdr:col>22</xdr:col>
      <xdr:colOff>397740</xdr:colOff>
      <xdr:row>9</xdr:row>
      <xdr:rowOff>56040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284AD94-7A1C-EEC1-FFE2-58588DEF6AD0}"/>
            </a:ext>
          </a:extLst>
        </xdr:cNvPr>
        <xdr:cNvSpPr/>
      </xdr:nvSpPr>
      <xdr:spPr>
        <a:xfrm>
          <a:off x="10568940" y="853440"/>
          <a:ext cx="3240000" cy="1260000"/>
        </a:xfrm>
        <a:prstGeom prst="roundRect">
          <a:avLst/>
        </a:prstGeom>
        <a:solidFill>
          <a:srgbClr val="8B6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2</xdr:row>
      <xdr:rowOff>76200</xdr:rowOff>
    </xdr:from>
    <xdr:to>
      <xdr:col>5</xdr:col>
      <xdr:colOff>382500</xdr:colOff>
      <xdr:row>9</xdr:row>
      <xdr:rowOff>56040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B4FF9EC-3C10-9B1D-F504-7E505493947E}"/>
            </a:ext>
          </a:extLst>
        </xdr:cNvPr>
        <xdr:cNvSpPr/>
      </xdr:nvSpPr>
      <xdr:spPr>
        <a:xfrm>
          <a:off x="190500" y="853440"/>
          <a:ext cx="3240000" cy="1260000"/>
        </a:xfrm>
        <a:prstGeom prst="roundRect">
          <a:avLst/>
        </a:prstGeom>
        <a:solidFill>
          <a:srgbClr val="4A8FCC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2</xdr:row>
      <xdr:rowOff>99060</xdr:rowOff>
    </xdr:from>
    <xdr:to>
      <xdr:col>5</xdr:col>
      <xdr:colOff>382500</xdr:colOff>
      <xdr:row>9</xdr:row>
      <xdr:rowOff>78900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E14A498-89E1-CE89-D10E-B50732EBE1A2}"/>
            </a:ext>
          </a:extLst>
        </xdr:cNvPr>
        <xdr:cNvSpPr/>
      </xdr:nvSpPr>
      <xdr:spPr>
        <a:xfrm>
          <a:off x="190500" y="876300"/>
          <a:ext cx="3240000" cy="1260000"/>
        </a:xfrm>
        <a:prstGeom prst="roundRect">
          <a:avLst/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601133</xdr:colOff>
      <xdr:row>2</xdr:row>
      <xdr:rowOff>114300</xdr:rowOff>
    </xdr:from>
    <xdr:to>
      <xdr:col>11</xdr:col>
      <xdr:colOff>183533</xdr:colOff>
      <xdr:row>9</xdr:row>
      <xdr:rowOff>94140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A5AB466-1A13-5905-93F3-2732E42205B5}"/>
            </a:ext>
          </a:extLst>
        </xdr:cNvPr>
        <xdr:cNvSpPr/>
      </xdr:nvSpPr>
      <xdr:spPr>
        <a:xfrm>
          <a:off x="3649133" y="891540"/>
          <a:ext cx="3240000" cy="1260000"/>
        </a:xfrm>
        <a:prstGeom prst="roundRect">
          <a:avLst/>
        </a:prstGeom>
        <a:solidFill>
          <a:srgbClr val="2533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203200</xdr:colOff>
      <xdr:row>2</xdr:row>
      <xdr:rowOff>114300</xdr:rowOff>
    </xdr:from>
    <xdr:to>
      <xdr:col>22</xdr:col>
      <xdr:colOff>395200</xdr:colOff>
      <xdr:row>9</xdr:row>
      <xdr:rowOff>94140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F953AC6-A988-DF7C-D8D6-F789AFDD83D1}"/>
            </a:ext>
          </a:extLst>
        </xdr:cNvPr>
        <xdr:cNvSpPr/>
      </xdr:nvSpPr>
      <xdr:spPr>
        <a:xfrm>
          <a:off x="10566400" y="891540"/>
          <a:ext cx="3240000" cy="1260000"/>
        </a:xfrm>
        <a:prstGeom prst="roundRect">
          <a:avLst/>
        </a:prstGeom>
        <a:solidFill>
          <a:srgbClr val="2533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402166</xdr:colOff>
      <xdr:row>2</xdr:row>
      <xdr:rowOff>114300</xdr:rowOff>
    </xdr:from>
    <xdr:to>
      <xdr:col>16</xdr:col>
      <xdr:colOff>594166</xdr:colOff>
      <xdr:row>9</xdr:row>
      <xdr:rowOff>94140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5430DA4-3786-CBAF-DB35-285364934739}"/>
            </a:ext>
          </a:extLst>
        </xdr:cNvPr>
        <xdr:cNvSpPr/>
      </xdr:nvSpPr>
      <xdr:spPr>
        <a:xfrm>
          <a:off x="7107766" y="891540"/>
          <a:ext cx="3240000" cy="1260000"/>
        </a:xfrm>
        <a:prstGeom prst="roundRect">
          <a:avLst/>
        </a:prstGeom>
        <a:solidFill>
          <a:srgbClr val="2533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10</xdr:row>
      <xdr:rowOff>83820</xdr:rowOff>
    </xdr:from>
    <xdr:to>
      <xdr:col>13</xdr:col>
      <xdr:colOff>83820</xdr:colOff>
      <xdr:row>28</xdr:row>
      <xdr:rowOff>31980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2C03155-2A45-E545-ED80-D858D2DE5B50}"/>
            </a:ext>
          </a:extLst>
        </xdr:cNvPr>
        <xdr:cNvSpPr/>
      </xdr:nvSpPr>
      <xdr:spPr>
        <a:xfrm>
          <a:off x="190500" y="2324100"/>
          <a:ext cx="7818120" cy="3240000"/>
        </a:xfrm>
        <a:prstGeom prst="roundRect">
          <a:avLst>
            <a:gd name="adj" fmla="val 7025"/>
          </a:avLst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329700</xdr:colOff>
      <xdr:row>10</xdr:row>
      <xdr:rowOff>45720</xdr:rowOff>
    </xdr:from>
    <xdr:to>
      <xdr:col>22</xdr:col>
      <xdr:colOff>459300</xdr:colOff>
      <xdr:row>27</xdr:row>
      <xdr:rowOff>176760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5D77581-4B4A-F7E6-DECF-6238E5CE696C}"/>
            </a:ext>
          </a:extLst>
        </xdr:cNvPr>
        <xdr:cNvSpPr/>
      </xdr:nvSpPr>
      <xdr:spPr>
        <a:xfrm>
          <a:off x="8254500" y="2286000"/>
          <a:ext cx="5616000" cy="3240000"/>
        </a:xfrm>
        <a:prstGeom prst="roundRect">
          <a:avLst>
            <a:gd name="adj" fmla="val 6789"/>
          </a:avLst>
        </a:prstGeom>
        <a:solidFill>
          <a:srgbClr val="2533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29</xdr:row>
      <xdr:rowOff>99060</xdr:rowOff>
    </xdr:from>
    <xdr:to>
      <xdr:col>7</xdr:col>
      <xdr:colOff>243300</xdr:colOff>
      <xdr:row>47</xdr:row>
      <xdr:rowOff>47220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64B22D3-A5EA-4CB0-0AB6-7D4D7C494BAC}"/>
            </a:ext>
          </a:extLst>
        </xdr:cNvPr>
        <xdr:cNvSpPr/>
      </xdr:nvSpPr>
      <xdr:spPr>
        <a:xfrm>
          <a:off x="190500" y="5814060"/>
          <a:ext cx="4320000" cy="3240000"/>
        </a:xfrm>
        <a:prstGeom prst="roundRect">
          <a:avLst>
            <a:gd name="adj" fmla="val 7730"/>
          </a:avLst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190500</xdr:colOff>
      <xdr:row>48</xdr:row>
      <xdr:rowOff>160020</xdr:rowOff>
    </xdr:from>
    <xdr:to>
      <xdr:col>22</xdr:col>
      <xdr:colOff>459300</xdr:colOff>
      <xdr:row>60</xdr:row>
      <xdr:rowOff>125460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8B232F2-3898-E35F-6562-FE486E68D49E}"/>
            </a:ext>
          </a:extLst>
        </xdr:cNvPr>
        <xdr:cNvSpPr/>
      </xdr:nvSpPr>
      <xdr:spPr>
        <a:xfrm>
          <a:off x="190500" y="9349740"/>
          <a:ext cx="13680000" cy="2160000"/>
        </a:xfrm>
        <a:prstGeom prst="roundRect">
          <a:avLst>
            <a:gd name="adj" fmla="val 11375"/>
          </a:avLst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423300</xdr:colOff>
      <xdr:row>29</xdr:row>
      <xdr:rowOff>106680</xdr:rowOff>
    </xdr:from>
    <xdr:to>
      <xdr:col>15</xdr:col>
      <xdr:colOff>226500</xdr:colOff>
      <xdr:row>47</xdr:row>
      <xdr:rowOff>54840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75ED781-B2A7-F5F5-54BC-C5AC7E93F293}"/>
            </a:ext>
          </a:extLst>
        </xdr:cNvPr>
        <xdr:cNvSpPr/>
      </xdr:nvSpPr>
      <xdr:spPr>
        <a:xfrm>
          <a:off x="4690500" y="5821680"/>
          <a:ext cx="4680000" cy="3240000"/>
        </a:xfrm>
        <a:prstGeom prst="roundRect">
          <a:avLst>
            <a:gd name="adj" fmla="val 7730"/>
          </a:avLst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406500</xdr:colOff>
      <xdr:row>29</xdr:row>
      <xdr:rowOff>114300</xdr:rowOff>
    </xdr:from>
    <xdr:to>
      <xdr:col>22</xdr:col>
      <xdr:colOff>459300</xdr:colOff>
      <xdr:row>47</xdr:row>
      <xdr:rowOff>62460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398D797-5FB7-961D-17C1-53E3F69DF6AB}"/>
            </a:ext>
          </a:extLst>
        </xdr:cNvPr>
        <xdr:cNvSpPr/>
      </xdr:nvSpPr>
      <xdr:spPr>
        <a:xfrm>
          <a:off x="9550500" y="5829300"/>
          <a:ext cx="4320000" cy="3240000"/>
        </a:xfrm>
        <a:prstGeom prst="roundRect">
          <a:avLst>
            <a:gd name="adj" fmla="val 7730"/>
          </a:avLst>
        </a:prstGeom>
        <a:solidFill>
          <a:srgbClr val="253347"/>
        </a:solidFill>
        <a:ln w="25400"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251460</xdr:colOff>
      <xdr:row>2</xdr:row>
      <xdr:rowOff>129540</xdr:rowOff>
    </xdr:from>
    <xdr:to>
      <xdr:col>5</xdr:col>
      <xdr:colOff>342900</xdr:colOff>
      <xdr:row>4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3B1985-C2B3-F176-1295-218629C79AEB}"/>
            </a:ext>
          </a:extLst>
        </xdr:cNvPr>
        <xdr:cNvSpPr txBox="1"/>
      </xdr:nvSpPr>
      <xdr:spPr>
        <a:xfrm>
          <a:off x="251460" y="906780"/>
          <a:ext cx="31394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rgbClr val="7A9BBF"/>
              </a:solidFill>
            </a:rPr>
            <a:t>TOTAL EMPLOYEES</a:t>
          </a:r>
        </a:p>
        <a:p>
          <a:pPr algn="ctr"/>
          <a:endParaRPr lang="en-IN" sz="1200">
            <a:solidFill>
              <a:srgbClr val="7A9BBF"/>
            </a:solidFill>
          </a:endParaRPr>
        </a:p>
      </xdr:txBody>
    </xdr:sp>
    <xdr:clientData/>
  </xdr:twoCellAnchor>
  <xdr:twoCellAnchor>
    <xdr:from>
      <xdr:col>6</xdr:col>
      <xdr:colOff>38100</xdr:colOff>
      <xdr:row>2</xdr:row>
      <xdr:rowOff>129540</xdr:rowOff>
    </xdr:from>
    <xdr:to>
      <xdr:col>11</xdr:col>
      <xdr:colOff>175260</xdr:colOff>
      <xdr:row>4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3F615C6-0823-4E71-2DE4-D6FDCA7AEDE5}"/>
            </a:ext>
          </a:extLst>
        </xdr:cNvPr>
        <xdr:cNvSpPr txBox="1"/>
      </xdr:nvSpPr>
      <xdr:spPr>
        <a:xfrm>
          <a:off x="3695700" y="906780"/>
          <a:ext cx="31851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rgbClr val="7A9BBF"/>
              </a:solidFill>
            </a:rPr>
            <a:t>AVG MONTHLY SALARY</a:t>
          </a:r>
        </a:p>
      </xdr:txBody>
    </xdr:sp>
    <xdr:clientData/>
  </xdr:twoCellAnchor>
  <xdr:twoCellAnchor>
    <xdr:from>
      <xdr:col>11</xdr:col>
      <xdr:colOff>449580</xdr:colOff>
      <xdr:row>2</xdr:row>
      <xdr:rowOff>106680</xdr:rowOff>
    </xdr:from>
    <xdr:to>
      <xdr:col>16</xdr:col>
      <xdr:colOff>579120</xdr:colOff>
      <xdr:row>4</xdr:row>
      <xdr:rowOff>53340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4297582-EA8B-0748-B57E-C911348116BF}"/>
            </a:ext>
          </a:extLst>
        </xdr:cNvPr>
        <xdr:cNvSpPr txBox="1"/>
      </xdr:nvSpPr>
      <xdr:spPr>
        <a:xfrm>
          <a:off x="7155180" y="883920"/>
          <a:ext cx="31775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rgbClr val="7A9BBF"/>
              </a:solidFill>
            </a:rPr>
            <a:t>ATTRITION RATE</a:t>
          </a:r>
        </a:p>
      </xdr:txBody>
    </xdr:sp>
    <xdr:clientData/>
  </xdr:twoCellAnchor>
  <xdr:twoCellAnchor>
    <xdr:from>
      <xdr:col>17</xdr:col>
      <xdr:colOff>259080</xdr:colOff>
      <xdr:row>2</xdr:row>
      <xdr:rowOff>129540</xdr:rowOff>
    </xdr:from>
    <xdr:to>
      <xdr:col>22</xdr:col>
      <xdr:colOff>365760</xdr:colOff>
      <xdr:row>4</xdr:row>
      <xdr:rowOff>76200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FC142B1-B5C5-AED7-B00D-2E4B1D2ACE23}"/>
            </a:ext>
          </a:extLst>
        </xdr:cNvPr>
        <xdr:cNvSpPr txBox="1"/>
      </xdr:nvSpPr>
      <xdr:spPr>
        <a:xfrm>
          <a:off x="10622280" y="906780"/>
          <a:ext cx="315468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rgbClr val="7A9BBF"/>
              </a:solidFill>
            </a:rPr>
            <a:t>AVG PERFORMANCE</a:t>
          </a:r>
        </a:p>
      </xdr:txBody>
    </xdr:sp>
    <xdr:clientData/>
  </xdr:twoCellAnchor>
  <xdr:twoCellAnchor>
    <xdr:from>
      <xdr:col>0</xdr:col>
      <xdr:colOff>228600</xdr:colOff>
      <xdr:row>5</xdr:row>
      <xdr:rowOff>24210</xdr:rowOff>
    </xdr:from>
    <xdr:to>
      <xdr:col>5</xdr:col>
      <xdr:colOff>342900</xdr:colOff>
      <xdr:row>6</xdr:row>
      <xdr:rowOff>153750</xdr:rowOff>
    </xdr:to>
    <xdr:sp macro="" textlink="AA1">
      <xdr:nvSpPr>
        <xdr:cNvPr id="27" name="TextBox 26">
          <a:extLst>
            <a:ext uri="{FF2B5EF4-FFF2-40B4-BE49-F238E27FC236}">
              <a16:creationId xmlns:a16="http://schemas.microsoft.com/office/drawing/2014/main" id="{82F26109-D4A8-2C55-78B3-0F6FB43F4307}"/>
            </a:ext>
          </a:extLst>
        </xdr:cNvPr>
        <xdr:cNvSpPr txBox="1"/>
      </xdr:nvSpPr>
      <xdr:spPr>
        <a:xfrm>
          <a:off x="228600" y="1350090"/>
          <a:ext cx="31623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297CD7A-9C22-4A07-9B78-B92A752B615E}" type="TxLink">
            <a:rPr lang="en-US" sz="2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1,470</a:t>
          </a:fld>
          <a:endParaRPr lang="en-IN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548640</xdr:colOff>
      <xdr:row>5</xdr:row>
      <xdr:rowOff>39450</xdr:rowOff>
    </xdr:from>
    <xdr:to>
      <xdr:col>10</xdr:col>
      <xdr:colOff>114300</xdr:colOff>
      <xdr:row>6</xdr:row>
      <xdr:rowOff>168990</xdr:rowOff>
    </xdr:to>
    <xdr:sp macro="" textlink="AB1">
      <xdr:nvSpPr>
        <xdr:cNvPr id="28" name="TextBox 27">
          <a:extLst>
            <a:ext uri="{FF2B5EF4-FFF2-40B4-BE49-F238E27FC236}">
              <a16:creationId xmlns:a16="http://schemas.microsoft.com/office/drawing/2014/main" id="{F3B14A71-7FAB-E632-5350-D8392A0B60AC}"/>
            </a:ext>
          </a:extLst>
        </xdr:cNvPr>
        <xdr:cNvSpPr txBox="1"/>
      </xdr:nvSpPr>
      <xdr:spPr>
        <a:xfrm>
          <a:off x="4206240" y="1365330"/>
          <a:ext cx="20040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8C9C13-9EFE-4975-A151-C69EA9B5EAF0}" type="TxLink">
            <a:rPr lang="en-US" sz="2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₹ 6,503</a:t>
          </a:fld>
          <a:endParaRPr lang="en-IN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11</xdr:col>
      <xdr:colOff>441960</xdr:colOff>
      <xdr:row>5</xdr:row>
      <xdr:rowOff>39450</xdr:rowOff>
    </xdr:from>
    <xdr:to>
      <xdr:col>16</xdr:col>
      <xdr:colOff>563880</xdr:colOff>
      <xdr:row>6</xdr:row>
      <xdr:rowOff>168990</xdr:rowOff>
    </xdr:to>
    <xdr:sp macro="" textlink="AB2">
      <xdr:nvSpPr>
        <xdr:cNvPr id="29" name="TextBox 28">
          <a:extLst>
            <a:ext uri="{FF2B5EF4-FFF2-40B4-BE49-F238E27FC236}">
              <a16:creationId xmlns:a16="http://schemas.microsoft.com/office/drawing/2014/main" id="{1D615509-2960-84D0-2337-018413B04CCF}"/>
            </a:ext>
          </a:extLst>
        </xdr:cNvPr>
        <xdr:cNvSpPr txBox="1"/>
      </xdr:nvSpPr>
      <xdr:spPr>
        <a:xfrm>
          <a:off x="7147560" y="1365330"/>
          <a:ext cx="31699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3984918-B5AC-41C0-95E5-D7FD2B7D2823}" type="TxLink">
            <a:rPr lang="en-US" sz="2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16.1%</a:t>
          </a:fld>
          <a:endParaRPr lang="en-IN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17</xdr:col>
      <xdr:colOff>243840</xdr:colOff>
      <xdr:row>5</xdr:row>
      <xdr:rowOff>39450</xdr:rowOff>
    </xdr:from>
    <xdr:to>
      <xdr:col>22</xdr:col>
      <xdr:colOff>388620</xdr:colOff>
      <xdr:row>6</xdr:row>
      <xdr:rowOff>168990</xdr:rowOff>
    </xdr:to>
    <xdr:sp macro="" textlink="AA2">
      <xdr:nvSpPr>
        <xdr:cNvPr id="30" name="TextBox 29">
          <a:extLst>
            <a:ext uri="{FF2B5EF4-FFF2-40B4-BE49-F238E27FC236}">
              <a16:creationId xmlns:a16="http://schemas.microsoft.com/office/drawing/2014/main" id="{1BD75F04-543D-1153-F4E7-A6E7F83CFD72}"/>
            </a:ext>
          </a:extLst>
        </xdr:cNvPr>
        <xdr:cNvSpPr txBox="1"/>
      </xdr:nvSpPr>
      <xdr:spPr>
        <a:xfrm>
          <a:off x="10607040" y="1365330"/>
          <a:ext cx="319278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7154D8-BAA3-4E00-82E7-E9D8664DA95E}" type="TxLink">
            <a:rPr lang="en-US" sz="2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3.15</a:t>
          </a:fld>
          <a:endParaRPr lang="en-IN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205740</xdr:colOff>
      <xdr:row>7</xdr:row>
      <xdr:rowOff>91440</xdr:rowOff>
    </xdr:from>
    <xdr:to>
      <xdr:col>5</xdr:col>
      <xdr:colOff>327660</xdr:colOff>
      <xdr:row>9</xdr:row>
      <xdr:rowOff>38100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C21761F-C04E-F229-2586-C4F81B8CBC30}"/>
            </a:ext>
          </a:extLst>
        </xdr:cNvPr>
        <xdr:cNvSpPr txBox="1"/>
      </xdr:nvSpPr>
      <xdr:spPr>
        <a:xfrm>
          <a:off x="205740" y="1783080"/>
          <a:ext cx="31699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rgbClr val="4A8FCC"/>
              </a:solidFill>
            </a:rPr>
            <a:t>3 Departments</a:t>
          </a:r>
        </a:p>
      </xdr:txBody>
    </xdr:sp>
    <xdr:clientData/>
  </xdr:twoCellAnchor>
  <xdr:twoCellAnchor>
    <xdr:from>
      <xdr:col>6</xdr:col>
      <xdr:colOff>0</xdr:colOff>
      <xdr:row>7</xdr:row>
      <xdr:rowOff>99060</xdr:rowOff>
    </xdr:from>
    <xdr:to>
      <xdr:col>11</xdr:col>
      <xdr:colOff>121920</xdr:colOff>
      <xdr:row>9</xdr:row>
      <xdr:rowOff>45720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564C9E6-1347-8A17-7347-15472D221508}"/>
            </a:ext>
          </a:extLst>
        </xdr:cNvPr>
        <xdr:cNvSpPr txBox="1"/>
      </xdr:nvSpPr>
      <xdr:spPr>
        <a:xfrm>
          <a:off x="3657600" y="1790700"/>
          <a:ext cx="31699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rgbClr val="3DAA7A"/>
              </a:solidFill>
            </a:rPr>
            <a:t>Range: ₹1K – ₹20K</a:t>
          </a:r>
        </a:p>
      </xdr:txBody>
    </xdr:sp>
    <xdr:clientData/>
  </xdr:twoCellAnchor>
  <xdr:twoCellAnchor>
    <xdr:from>
      <xdr:col>11</xdr:col>
      <xdr:colOff>464820</xdr:colOff>
      <xdr:row>7</xdr:row>
      <xdr:rowOff>115650</xdr:rowOff>
    </xdr:from>
    <xdr:to>
      <xdr:col>16</xdr:col>
      <xdr:colOff>586740</xdr:colOff>
      <xdr:row>9</xdr:row>
      <xdr:rowOff>62310</xdr:rowOff>
    </xdr:to>
    <xdr:sp macro="" textlink="AB2">
      <xdr:nvSpPr>
        <xdr:cNvPr id="37" name="TextBox 36">
          <a:extLst>
            <a:ext uri="{FF2B5EF4-FFF2-40B4-BE49-F238E27FC236}">
              <a16:creationId xmlns:a16="http://schemas.microsoft.com/office/drawing/2014/main" id="{2F82E3DF-5632-066B-39C2-3B20F7CFEB0F}"/>
            </a:ext>
          </a:extLst>
        </xdr:cNvPr>
        <xdr:cNvSpPr txBox="1"/>
      </xdr:nvSpPr>
      <xdr:spPr>
        <a:xfrm>
          <a:off x="7170420" y="1807290"/>
          <a:ext cx="316992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rgbClr val="E8A020"/>
              </a:solidFill>
            </a:rPr>
            <a:t>237 Employees Left</a:t>
          </a:r>
          <a:endParaRPr lang="en-IN" sz="900" b="1">
            <a:solidFill>
              <a:srgbClr val="E8A020"/>
            </a:solidFill>
          </a:endParaRPr>
        </a:p>
      </xdr:txBody>
    </xdr:sp>
    <xdr:clientData/>
  </xdr:twoCellAnchor>
  <xdr:twoCellAnchor>
    <xdr:from>
      <xdr:col>17</xdr:col>
      <xdr:colOff>228600</xdr:colOff>
      <xdr:row>7</xdr:row>
      <xdr:rowOff>123270</xdr:rowOff>
    </xdr:from>
    <xdr:to>
      <xdr:col>22</xdr:col>
      <xdr:colOff>403860</xdr:colOff>
      <xdr:row>9</xdr:row>
      <xdr:rowOff>69930</xdr:rowOff>
    </xdr:to>
    <xdr:sp macro="" textlink="AB2">
      <xdr:nvSpPr>
        <xdr:cNvPr id="38" name="TextBox 37">
          <a:extLst>
            <a:ext uri="{FF2B5EF4-FFF2-40B4-BE49-F238E27FC236}">
              <a16:creationId xmlns:a16="http://schemas.microsoft.com/office/drawing/2014/main" id="{121B9A71-EBCF-FAF4-C90B-FCA33AFD40DD}"/>
            </a:ext>
          </a:extLst>
        </xdr:cNvPr>
        <xdr:cNvSpPr txBox="1"/>
      </xdr:nvSpPr>
      <xdr:spPr>
        <a:xfrm>
          <a:off x="10591800" y="1814910"/>
          <a:ext cx="3223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900">
              <a:solidFill>
                <a:srgbClr val="8B6FCC"/>
              </a:solidFill>
            </a:rPr>
            <a:t>Scale: 1 – 4</a:t>
          </a:r>
          <a:endParaRPr lang="en-IN" sz="900" b="1">
            <a:solidFill>
              <a:srgbClr val="8B6FCC"/>
            </a:solidFill>
          </a:endParaRPr>
        </a:p>
      </xdr:txBody>
    </xdr:sp>
    <xdr:clientData/>
  </xdr:twoCellAnchor>
  <xdr:twoCellAnchor>
    <xdr:from>
      <xdr:col>0</xdr:col>
      <xdr:colOff>350520</xdr:colOff>
      <xdr:row>11</xdr:row>
      <xdr:rowOff>129540</xdr:rowOff>
    </xdr:from>
    <xdr:to>
      <xdr:col>12</xdr:col>
      <xdr:colOff>579120</xdr:colOff>
      <xdr:row>28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EB36A-584B-40B2-8D42-16F0A37B8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373380</xdr:colOff>
      <xdr:row>10</xdr:row>
      <xdr:rowOff>114300</xdr:rowOff>
    </xdr:from>
    <xdr:to>
      <xdr:col>3</xdr:col>
      <xdr:colOff>373380</xdr:colOff>
      <xdr:row>12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1B8C09-36BD-11A1-294D-11F25B0F2C61}"/>
            </a:ext>
          </a:extLst>
        </xdr:cNvPr>
        <xdr:cNvSpPr txBox="1"/>
      </xdr:nvSpPr>
      <xdr:spPr>
        <a:xfrm>
          <a:off x="373380" y="2354580"/>
          <a:ext cx="18288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Avg Salary by Department</a:t>
          </a:r>
        </a:p>
      </xdr:txBody>
    </xdr:sp>
    <xdr:clientData/>
  </xdr:twoCellAnchor>
  <xdr:twoCellAnchor>
    <xdr:from>
      <xdr:col>12</xdr:col>
      <xdr:colOff>381000</xdr:colOff>
      <xdr:row>10</xdr:row>
      <xdr:rowOff>91440</xdr:rowOff>
    </xdr:from>
    <xdr:to>
      <xdr:col>17</xdr:col>
      <xdr:colOff>518160</xdr:colOff>
      <xdr:row>12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2B83C5-D5B0-77A0-3E40-50BF5D2AA5AC}"/>
            </a:ext>
          </a:extLst>
        </xdr:cNvPr>
        <xdr:cNvSpPr txBox="1"/>
      </xdr:nvSpPr>
      <xdr:spPr>
        <a:xfrm>
          <a:off x="7696200" y="2331720"/>
          <a:ext cx="31851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Performance Distribution</a:t>
          </a:r>
        </a:p>
      </xdr:txBody>
    </xdr:sp>
    <xdr:clientData/>
  </xdr:twoCellAnchor>
  <xdr:twoCellAnchor>
    <xdr:from>
      <xdr:col>13</xdr:col>
      <xdr:colOff>358140</xdr:colOff>
      <xdr:row>11</xdr:row>
      <xdr:rowOff>129540</xdr:rowOff>
    </xdr:from>
    <xdr:to>
      <xdr:col>21</xdr:col>
      <xdr:colOff>426720</xdr:colOff>
      <xdr:row>27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868355-E688-4F41-98A9-1158BBC13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556260</xdr:colOff>
      <xdr:row>19</xdr:row>
      <xdr:rowOff>106680</xdr:rowOff>
    </xdr:from>
    <xdr:to>
      <xdr:col>18</xdr:col>
      <xdr:colOff>251460</xdr:colOff>
      <xdr:row>21</xdr:row>
      <xdr:rowOff>22860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D2D6D01-B7C9-3034-AD10-679AFC3F3ED9}"/>
            </a:ext>
          </a:extLst>
        </xdr:cNvPr>
        <xdr:cNvSpPr txBox="1"/>
      </xdr:nvSpPr>
      <xdr:spPr>
        <a:xfrm>
          <a:off x="10309860" y="3992880"/>
          <a:ext cx="91440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</a:p>
      </xdr:txBody>
    </xdr:sp>
    <xdr:clientData/>
  </xdr:twoCellAnchor>
  <xdr:twoCellAnchor>
    <xdr:from>
      <xdr:col>7</xdr:col>
      <xdr:colOff>548640</xdr:colOff>
      <xdr:row>29</xdr:row>
      <xdr:rowOff>152400</xdr:rowOff>
    </xdr:from>
    <xdr:to>
      <xdr:col>10</xdr:col>
      <xdr:colOff>548640</xdr:colOff>
      <xdr:row>31</xdr:row>
      <xdr:rowOff>99060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B998EB1-8A9E-18BF-EF54-C3508B708926}"/>
            </a:ext>
          </a:extLst>
        </xdr:cNvPr>
        <xdr:cNvSpPr txBox="1"/>
      </xdr:nvSpPr>
      <xdr:spPr>
        <a:xfrm>
          <a:off x="4815840" y="5867400"/>
          <a:ext cx="18288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Gender Pay by Job Level</a:t>
          </a:r>
        </a:p>
      </xdr:txBody>
    </xdr:sp>
    <xdr:clientData/>
  </xdr:twoCellAnchor>
  <xdr:twoCellAnchor>
    <xdr:from>
      <xdr:col>0</xdr:col>
      <xdr:colOff>251460</xdr:colOff>
      <xdr:row>29</xdr:row>
      <xdr:rowOff>121920</xdr:rowOff>
    </xdr:from>
    <xdr:to>
      <xdr:col>3</xdr:col>
      <xdr:colOff>251460</xdr:colOff>
      <xdr:row>31</xdr:row>
      <xdr:rowOff>68580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FB0913E-307B-1DAA-4D47-C8B602EDE8D4}"/>
            </a:ext>
          </a:extLst>
        </xdr:cNvPr>
        <xdr:cNvSpPr txBox="1"/>
      </xdr:nvSpPr>
      <xdr:spPr>
        <a:xfrm>
          <a:off x="251460" y="5836920"/>
          <a:ext cx="18288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Salary Band Distribution</a:t>
          </a:r>
        </a:p>
      </xdr:txBody>
    </xdr:sp>
    <xdr:clientData/>
  </xdr:twoCellAnchor>
  <xdr:twoCellAnchor>
    <xdr:from>
      <xdr:col>15</xdr:col>
      <xdr:colOff>406500</xdr:colOff>
      <xdr:row>30</xdr:row>
      <xdr:rowOff>160020</xdr:rowOff>
    </xdr:from>
    <xdr:to>
      <xdr:col>22</xdr:col>
      <xdr:colOff>441960</xdr:colOff>
      <xdr:row>46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EF9510F-C9DB-47E3-A9F8-DC3942076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457200</xdr:colOff>
      <xdr:row>29</xdr:row>
      <xdr:rowOff>129540</xdr:rowOff>
    </xdr:from>
    <xdr:to>
      <xdr:col>19</xdr:col>
      <xdr:colOff>15240</xdr:colOff>
      <xdr:row>31</xdr:row>
      <xdr:rowOff>76200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9232E9B-998E-C58A-3254-F88174415695}"/>
            </a:ext>
          </a:extLst>
        </xdr:cNvPr>
        <xdr:cNvSpPr txBox="1"/>
      </xdr:nvSpPr>
      <xdr:spPr>
        <a:xfrm>
          <a:off x="9601200" y="5844540"/>
          <a:ext cx="199644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Employee Age Distribution</a:t>
          </a:r>
        </a:p>
      </xdr:txBody>
    </xdr:sp>
    <xdr:clientData/>
  </xdr:twoCellAnchor>
  <xdr:twoCellAnchor>
    <xdr:from>
      <xdr:col>0</xdr:col>
      <xdr:colOff>190500</xdr:colOff>
      <xdr:row>30</xdr:row>
      <xdr:rowOff>22860</xdr:rowOff>
    </xdr:from>
    <xdr:to>
      <xdr:col>7</xdr:col>
      <xdr:colOff>190500</xdr:colOff>
      <xdr:row>46</xdr:row>
      <xdr:rowOff>68580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77924D2-57EF-4342-A701-147DA04F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457200</xdr:colOff>
      <xdr:row>31</xdr:row>
      <xdr:rowOff>15240</xdr:rowOff>
    </xdr:from>
    <xdr:to>
      <xdr:col>15</xdr:col>
      <xdr:colOff>91440</xdr:colOff>
      <xdr:row>46</xdr:row>
      <xdr:rowOff>45720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9EAB4A3-10DA-415F-996F-296EAE6BB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49</xdr:row>
      <xdr:rowOff>91440</xdr:rowOff>
    </xdr:from>
    <xdr:to>
      <xdr:col>22</xdr:col>
      <xdr:colOff>312420</xdr:colOff>
      <xdr:row>59</xdr:row>
      <xdr:rowOff>91440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52FBE3C-8D7A-4DBD-9E9A-40C7BA586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259080</xdr:colOff>
      <xdr:row>49</xdr:row>
      <xdr:rowOff>15240</xdr:rowOff>
    </xdr:from>
    <xdr:to>
      <xdr:col>3</xdr:col>
      <xdr:colOff>259080</xdr:colOff>
      <xdr:row>50</xdr:row>
      <xdr:rowOff>144780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884D770-54AC-E408-86BF-D98290934BDB}"/>
            </a:ext>
          </a:extLst>
        </xdr:cNvPr>
        <xdr:cNvSpPr txBox="1"/>
      </xdr:nvSpPr>
      <xdr:spPr>
        <a:xfrm>
          <a:off x="259080" y="9387840"/>
          <a:ext cx="182880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>
              <a:solidFill>
                <a:schemeClr val="bg1"/>
              </a:solidFill>
            </a:rPr>
            <a:t>Overtime vs Attrition</a:t>
          </a:r>
        </a:p>
      </xdr:txBody>
    </xdr:sp>
    <xdr:clientData/>
  </xdr:twoCellAnchor>
  <xdr:twoCellAnchor>
    <xdr:from>
      <xdr:col>0</xdr:col>
      <xdr:colOff>320040</xdr:colOff>
      <xdr:row>58</xdr:row>
      <xdr:rowOff>83820</xdr:rowOff>
    </xdr:from>
    <xdr:to>
      <xdr:col>21</xdr:col>
      <xdr:colOff>236220</xdr:colOff>
      <xdr:row>60</xdr:row>
      <xdr:rowOff>129540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4CA3054-7869-F592-6BE3-722803C2CDCE}"/>
            </a:ext>
          </a:extLst>
        </xdr:cNvPr>
        <xdr:cNvSpPr txBox="1"/>
      </xdr:nvSpPr>
      <xdr:spPr>
        <a:xfrm>
          <a:off x="320040" y="11102340"/>
          <a:ext cx="1271778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rgbClr val="E8A020"/>
              </a:solidFill>
            </a:rPr>
            <a:t>💡 Insight: Employees working overtime have 15% higher attrition</a:t>
          </a:r>
          <a:r>
            <a:rPr lang="en-IN" sz="900" baseline="0">
              <a:solidFill>
                <a:srgbClr val="E8A020"/>
              </a:solidFill>
            </a:rPr>
            <a:t> </a:t>
          </a:r>
          <a:r>
            <a:rPr lang="en-IN" sz="900">
              <a:solidFill>
                <a:srgbClr val="E8A020"/>
              </a:solidFill>
            </a:rPr>
            <a:t>compared to non-overtime employees (127 vs 110)</a:t>
          </a:r>
        </a:p>
      </xdr:txBody>
    </xdr:sp>
    <xdr:clientData/>
  </xdr:twoCellAnchor>
  <xdr:oneCellAnchor>
    <xdr:from>
      <xdr:col>12</xdr:col>
      <xdr:colOff>243840</xdr:colOff>
      <xdr:row>54</xdr:row>
      <xdr:rowOff>114300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811B10B-AB10-40AE-A1DD-0EC12589EAA8}"/>
            </a:ext>
          </a:extLst>
        </xdr:cNvPr>
        <xdr:cNvSpPr txBox="1"/>
      </xdr:nvSpPr>
      <xdr:spPr>
        <a:xfrm>
          <a:off x="7559040" y="1040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30480</xdr:colOff>
      <xdr:row>0</xdr:row>
      <xdr:rowOff>556260</xdr:rowOff>
    </xdr:from>
    <xdr:to>
      <xdr:col>26</xdr:col>
      <xdr:colOff>373380</xdr:colOff>
      <xdr:row>1</xdr:row>
      <xdr:rowOff>13140</xdr:rowOff>
    </xdr:to>
    <xdr:sp macro="" textlink="">
      <xdr:nvSpPr>
        <xdr:cNvPr id="45" name="Rectangle: Single Corner Rounded 44">
          <a:extLst>
            <a:ext uri="{FF2B5EF4-FFF2-40B4-BE49-F238E27FC236}">
              <a16:creationId xmlns:a16="http://schemas.microsoft.com/office/drawing/2014/main" id="{1C173033-E495-C46D-1E00-9B6CC15B7F71}"/>
            </a:ext>
          </a:extLst>
        </xdr:cNvPr>
        <xdr:cNvSpPr/>
      </xdr:nvSpPr>
      <xdr:spPr>
        <a:xfrm>
          <a:off x="30480" y="556260"/>
          <a:ext cx="16192500" cy="36000"/>
        </a:xfrm>
        <a:prstGeom prst="round1Rect">
          <a:avLst/>
        </a:prstGeom>
        <a:solidFill>
          <a:srgbClr val="2533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0.44079</cdr:x>
      <cdr:y>0.39741</cdr:y>
    </cdr:from>
    <cdr:to>
      <cdr:x>0.59246</cdr:x>
      <cdr:y>0.53352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61F846-1456-9ED9-9FD7-286635E411B4}"/>
            </a:ext>
          </a:extLst>
        </cdr:cNvPr>
        <cdr:cNvSpPr txBox="1"/>
      </cdr:nvSpPr>
      <cdr:spPr>
        <a:xfrm xmlns:a="http://schemas.openxmlformats.org/drawingml/2006/main">
          <a:off x="2179853" y="1168908"/>
          <a:ext cx="750066" cy="400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bg1"/>
              </a:solidFill>
            </a:rPr>
            <a:t>1,470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6</xdr:row>
      <xdr:rowOff>0</xdr:rowOff>
    </xdr:from>
    <xdr:to>
      <xdr:col>10</xdr:col>
      <xdr:colOff>175260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C934B-6269-090C-FEBE-717AB9934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7</xdr:row>
      <xdr:rowOff>129540</xdr:rowOff>
    </xdr:from>
    <xdr:to>
      <xdr:col>6</xdr:col>
      <xdr:colOff>243840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1B1C4-A89F-AD3D-C47F-7FAD230DF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861060</xdr:colOff>
      <xdr:row>3</xdr:row>
      <xdr:rowOff>121920</xdr:rowOff>
    </xdr:from>
    <xdr:to>
      <xdr:col>7</xdr:col>
      <xdr:colOff>1988820</xdr:colOff>
      <xdr:row>18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DE4CB-EC50-ABF9-6D6E-01CC3BF98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0.43</cdr:x>
      <cdr:y>0.4</cdr:y>
    </cdr:from>
    <cdr:to>
      <cdr:x>0.58167</cdr:x>
      <cdr:y>0.53611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61F846-1456-9ED9-9FD7-286635E411B4}"/>
            </a:ext>
          </a:extLst>
        </cdr:cNvPr>
        <cdr:cNvSpPr txBox="1"/>
      </cdr:nvSpPr>
      <cdr:spPr>
        <a:xfrm xmlns:a="http://schemas.openxmlformats.org/drawingml/2006/main">
          <a:off x="1965960" y="1097280"/>
          <a:ext cx="6934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/>
            <a:t>1,470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5</xdr:row>
      <xdr:rowOff>175260</xdr:rowOff>
    </xdr:from>
    <xdr:to>
      <xdr:col>9</xdr:col>
      <xdr:colOff>586740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FAEF8-ED37-C953-F6CE-3B4514FAC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60960</xdr:rowOff>
    </xdr:from>
    <xdr:to>
      <xdr:col>11</xdr:col>
      <xdr:colOff>403860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6DD3F-0BBC-8DD1-8515-1E1CFA5A4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541020</xdr:colOff>
      <xdr:row>6</xdr:row>
      <xdr:rowOff>114300</xdr:rowOff>
    </xdr:from>
    <xdr:to>
      <xdr:col>7</xdr:col>
      <xdr:colOff>495300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1A44E-9A46-FB8D-839D-AED4022FD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an sah" refreshedDate="46200.702026273146" createdVersion="8" refreshedVersion="8" minRefreshableVersion="3" recordCount="1470" xr:uid="{05863A30-470B-4B59-AD6C-2438085CCA7F}">
  <cacheSource type="worksheet">
    <worksheetSource ref="A1:AL1471" sheet="Working Data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Band" numFmtId="0">
      <sharedItems count="4">
        <s v="36-45"/>
        <s v="46+"/>
        <s v="26-35"/>
        <s v="20-25"/>
      </sharedItems>
    </cacheField>
    <cacheField name="Salary Band" numFmtId="0">
      <sharedItems count="4">
        <s v="Mid (3-6K)"/>
        <s v="Low (0-3K)"/>
        <s v="High (6-10K)"/>
        <s v="Very High (10K+)"/>
      </sharedItems>
    </cacheField>
    <cacheField name="Tenure Group" numFmtId="0">
      <sharedItems/>
    </cacheField>
    <cacheField name="Performance Label" numFmtId="0">
      <sharedItems count="4">
        <s v="Good"/>
        <s v="Excellent"/>
        <s v="Poor" u="1"/>
        <s v="Needs Improvement" u="1"/>
      </sharedItems>
    </cacheField>
    <cacheField name="Satisfaction Score" numFmtId="0">
      <sharedItems/>
    </cacheField>
    <cacheField name="Annual Income" numFmtId="0">
      <sharedItems containsSemiMixedTypes="0" containsString="0" containsNumber="1" containsInteger="1" minValue="12108" maxValue="23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x v="0"/>
    <n v="94"/>
    <n v="3"/>
    <x v="0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  <x v="0"/>
    <x v="0"/>
    <s v="6-10 yrs"/>
    <x v="0"/>
    <s v="Very Satisfied"/>
    <n v="71916"/>
  </r>
  <r>
    <n v="49"/>
    <x v="1"/>
    <s v="Travel_Frequently"/>
    <n v="279"/>
    <x v="1"/>
    <n v="8"/>
    <n v="1"/>
    <s v="Life Sciences"/>
    <n v="2"/>
    <n v="3"/>
    <x v="1"/>
    <n v="61"/>
    <n v="2"/>
    <x v="0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x v="1"/>
    <x v="0"/>
    <s v="6-10 yrs"/>
    <x v="1"/>
    <s v="Dissatisfied"/>
    <n v="61560"/>
  </r>
  <r>
    <n v="37"/>
    <x v="0"/>
    <s v="Travel_Rarely"/>
    <n v="1373"/>
    <x v="1"/>
    <n v="2"/>
    <n v="2"/>
    <s v="Other"/>
    <n v="4"/>
    <n v="4"/>
    <x v="1"/>
    <n v="92"/>
    <n v="2"/>
    <x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  <x v="0"/>
    <x v="1"/>
    <s v="0-2 yrs"/>
    <x v="0"/>
    <s v="Satisfied"/>
    <n v="25080"/>
  </r>
  <r>
    <n v="33"/>
    <x v="1"/>
    <s v="Travel_Frequently"/>
    <n v="1392"/>
    <x v="1"/>
    <n v="3"/>
    <n v="4"/>
    <s v="Life Sciences"/>
    <n v="5"/>
    <n v="4"/>
    <x v="0"/>
    <n v="56"/>
    <n v="3"/>
    <x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  <x v="2"/>
    <x v="1"/>
    <s v="6-10 yrs"/>
    <x v="0"/>
    <s v="Satisfied"/>
    <n v="34908"/>
  </r>
  <r>
    <n v="27"/>
    <x v="1"/>
    <s v="Travel_Rarely"/>
    <n v="591"/>
    <x v="1"/>
    <n v="2"/>
    <n v="1"/>
    <s v="Medical"/>
    <n v="7"/>
    <n v="1"/>
    <x v="1"/>
    <n v="40"/>
    <n v="3"/>
    <x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  <x v="2"/>
    <x v="0"/>
    <s v="0-2 yrs"/>
    <x v="0"/>
    <s v="Dissatisfied"/>
    <n v="41616"/>
  </r>
  <r>
    <n v="32"/>
    <x v="1"/>
    <s v="Travel_Frequently"/>
    <n v="1005"/>
    <x v="1"/>
    <n v="2"/>
    <n v="2"/>
    <s v="Life Sciences"/>
    <n v="8"/>
    <n v="4"/>
    <x v="1"/>
    <n v="79"/>
    <n v="3"/>
    <x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  <x v="2"/>
    <x v="0"/>
    <s v="6-10 yrs"/>
    <x v="0"/>
    <s v="Very Satisfied"/>
    <n v="36816"/>
  </r>
  <r>
    <n v="59"/>
    <x v="1"/>
    <s v="Travel_Rarely"/>
    <n v="1324"/>
    <x v="1"/>
    <n v="3"/>
    <n v="3"/>
    <s v="Medical"/>
    <n v="10"/>
    <n v="3"/>
    <x v="0"/>
    <n v="81"/>
    <n v="4"/>
    <x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  <x v="1"/>
    <x v="1"/>
    <s v="0-2 yrs"/>
    <x v="1"/>
    <s v="Very Dissatisfied"/>
    <n v="32040"/>
  </r>
  <r>
    <n v="30"/>
    <x v="1"/>
    <s v="Travel_Rarely"/>
    <n v="1358"/>
    <x v="1"/>
    <n v="24"/>
    <n v="1"/>
    <s v="Life Sciences"/>
    <n v="11"/>
    <n v="4"/>
    <x v="1"/>
    <n v="67"/>
    <n v="3"/>
    <x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  <x v="2"/>
    <x v="1"/>
    <s v="0-2 yrs"/>
    <x v="1"/>
    <s v="Satisfied"/>
    <n v="32316"/>
  </r>
  <r>
    <n v="38"/>
    <x v="1"/>
    <s v="Travel_Frequently"/>
    <n v="216"/>
    <x v="1"/>
    <n v="23"/>
    <n v="3"/>
    <s v="Life Sciences"/>
    <n v="12"/>
    <n v="4"/>
    <x v="1"/>
    <n v="44"/>
    <n v="2"/>
    <x v="2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  <x v="0"/>
    <x v="2"/>
    <s v="6-10 yrs"/>
    <x v="1"/>
    <s v="Satisfied"/>
    <n v="114312"/>
  </r>
  <r>
    <n v="36"/>
    <x v="1"/>
    <s v="Travel_Rarely"/>
    <n v="1299"/>
    <x v="1"/>
    <n v="27"/>
    <n v="3"/>
    <s v="Medical"/>
    <n v="13"/>
    <n v="3"/>
    <x v="1"/>
    <n v="94"/>
    <n v="3"/>
    <x v="0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  <x v="0"/>
    <x v="0"/>
    <s v="6-10 yrs"/>
    <x v="0"/>
    <s v="Satisfied"/>
    <n v="62844"/>
  </r>
  <r>
    <n v="35"/>
    <x v="1"/>
    <s v="Travel_Rarely"/>
    <n v="809"/>
    <x v="1"/>
    <n v="16"/>
    <n v="3"/>
    <s v="Medical"/>
    <n v="14"/>
    <n v="1"/>
    <x v="1"/>
    <n v="84"/>
    <n v="4"/>
    <x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  <x v="2"/>
    <x v="1"/>
    <s v="3-5 yrs"/>
    <x v="0"/>
    <s v="Dissatisfied"/>
    <n v="29112"/>
  </r>
  <r>
    <n v="29"/>
    <x v="1"/>
    <s v="Travel_Rarely"/>
    <n v="153"/>
    <x v="1"/>
    <n v="15"/>
    <n v="2"/>
    <s v="Life Sciences"/>
    <n v="15"/>
    <n v="4"/>
    <x v="0"/>
    <n v="49"/>
    <n v="2"/>
    <x v="0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  <x v="2"/>
    <x v="0"/>
    <s v="6-10 yrs"/>
    <x v="0"/>
    <s v="Satisfied"/>
    <n v="50316"/>
  </r>
  <r>
    <n v="31"/>
    <x v="1"/>
    <s v="Travel_Rarely"/>
    <n v="670"/>
    <x v="1"/>
    <n v="26"/>
    <n v="1"/>
    <s v="Life Sciences"/>
    <n v="16"/>
    <n v="1"/>
    <x v="1"/>
    <n v="31"/>
    <n v="3"/>
    <x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  <x v="2"/>
    <x v="1"/>
    <s v="3-5 yrs"/>
    <x v="0"/>
    <s v="Satisfied"/>
    <n v="34932"/>
  </r>
  <r>
    <n v="34"/>
    <x v="1"/>
    <s v="Travel_Rarely"/>
    <n v="1346"/>
    <x v="1"/>
    <n v="19"/>
    <n v="2"/>
    <s v="Medical"/>
    <n v="18"/>
    <n v="2"/>
    <x v="1"/>
    <n v="93"/>
    <n v="3"/>
    <x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  <x v="2"/>
    <x v="1"/>
    <s v="0-2 yrs"/>
    <x v="0"/>
    <s v="Very Satisfied"/>
    <n v="31932"/>
  </r>
  <r>
    <n v="28"/>
    <x v="0"/>
    <s v="Travel_Rarely"/>
    <n v="103"/>
    <x v="1"/>
    <n v="24"/>
    <n v="3"/>
    <s v="Life Sciences"/>
    <n v="19"/>
    <n v="3"/>
    <x v="1"/>
    <n v="50"/>
    <n v="2"/>
    <x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  <x v="2"/>
    <x v="1"/>
    <s v="3-5 yrs"/>
    <x v="0"/>
    <s v="Satisfied"/>
    <n v="24336"/>
  </r>
  <r>
    <n v="29"/>
    <x v="1"/>
    <s v="Travel_Rarely"/>
    <n v="1389"/>
    <x v="1"/>
    <n v="21"/>
    <n v="4"/>
    <s v="Life Sciences"/>
    <n v="20"/>
    <n v="2"/>
    <x v="0"/>
    <n v="51"/>
    <n v="4"/>
    <x v="2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x v="2"/>
    <x v="2"/>
    <s v="6-10 yrs"/>
    <x v="0"/>
    <s v="Very Dissatisfied"/>
    <n v="119760"/>
  </r>
  <r>
    <n v="32"/>
    <x v="1"/>
    <s v="Travel_Rarely"/>
    <n v="334"/>
    <x v="1"/>
    <n v="5"/>
    <n v="2"/>
    <s v="Life Sciences"/>
    <n v="21"/>
    <n v="1"/>
    <x v="1"/>
    <n v="80"/>
    <n v="4"/>
    <x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  <x v="2"/>
    <x v="0"/>
    <s v="6-10 yrs"/>
    <x v="0"/>
    <s v="Dissatisfied"/>
    <n v="39576"/>
  </r>
  <r>
    <n v="22"/>
    <x v="1"/>
    <s v="Non-Travel"/>
    <n v="1123"/>
    <x v="1"/>
    <n v="16"/>
    <n v="2"/>
    <s v="Medical"/>
    <n v="22"/>
    <n v="4"/>
    <x v="1"/>
    <n v="96"/>
    <n v="4"/>
    <x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  <x v="3"/>
    <x v="1"/>
    <s v="0-2 yrs"/>
    <x v="0"/>
    <s v="Very Satisfied"/>
    <n v="35220"/>
  </r>
  <r>
    <n v="53"/>
    <x v="1"/>
    <s v="Travel_Rarely"/>
    <n v="1219"/>
    <x v="0"/>
    <n v="2"/>
    <n v="4"/>
    <s v="Life Sciences"/>
    <n v="23"/>
    <n v="1"/>
    <x v="0"/>
    <n v="78"/>
    <n v="2"/>
    <x v="3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x v="1"/>
    <x v="3"/>
    <s v="10+ yrs"/>
    <x v="0"/>
    <s v="Very Satisfied"/>
    <n v="185124"/>
  </r>
  <r>
    <n v="38"/>
    <x v="1"/>
    <s v="Travel_Rarely"/>
    <n v="371"/>
    <x v="1"/>
    <n v="2"/>
    <n v="3"/>
    <s v="Life Sciences"/>
    <n v="24"/>
    <n v="4"/>
    <x v="1"/>
    <n v="45"/>
    <n v="3"/>
    <x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  <x v="0"/>
    <x v="0"/>
    <s v="3-5 yrs"/>
    <x v="0"/>
    <s v="Very Satisfied"/>
    <n v="47328"/>
  </r>
  <r>
    <n v="24"/>
    <x v="1"/>
    <s v="Non-Travel"/>
    <n v="673"/>
    <x v="1"/>
    <n v="11"/>
    <n v="2"/>
    <s v="Other"/>
    <n v="26"/>
    <n v="1"/>
    <x v="0"/>
    <n v="96"/>
    <n v="4"/>
    <x v="0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  <x v="3"/>
    <x v="0"/>
    <s v="3-5 yrs"/>
    <x v="0"/>
    <s v="Satisfied"/>
    <n v="48132"/>
  </r>
  <r>
    <n v="36"/>
    <x v="0"/>
    <s v="Travel_Rarely"/>
    <n v="1218"/>
    <x v="0"/>
    <n v="9"/>
    <n v="4"/>
    <s v="Life Sciences"/>
    <n v="27"/>
    <n v="3"/>
    <x v="1"/>
    <n v="82"/>
    <n v="2"/>
    <x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  <x v="0"/>
    <x v="0"/>
    <s v="3-5 yrs"/>
    <x v="1"/>
    <s v="Very Dissatisfied"/>
    <n v="40884"/>
  </r>
  <r>
    <n v="34"/>
    <x v="1"/>
    <s v="Travel_Rarely"/>
    <n v="419"/>
    <x v="1"/>
    <n v="7"/>
    <n v="4"/>
    <s v="Life Sciences"/>
    <n v="28"/>
    <n v="1"/>
    <x v="0"/>
    <n v="53"/>
    <n v="3"/>
    <x v="2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x v="2"/>
    <x v="3"/>
    <s v="10+ yrs"/>
    <x v="0"/>
    <s v="Dissatisfied"/>
    <n v="143928"/>
  </r>
  <r>
    <n v="21"/>
    <x v="1"/>
    <s v="Travel_Rarely"/>
    <n v="391"/>
    <x v="1"/>
    <n v="15"/>
    <n v="2"/>
    <s v="Life Sciences"/>
    <n v="30"/>
    <n v="3"/>
    <x v="1"/>
    <n v="96"/>
    <n v="3"/>
    <x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  <x v="3"/>
    <x v="1"/>
    <s v="0-2 yrs"/>
    <x v="0"/>
    <s v="Very Satisfied"/>
    <n v="14784"/>
  </r>
  <r>
    <n v="34"/>
    <x v="0"/>
    <s v="Travel_Rarely"/>
    <n v="699"/>
    <x v="1"/>
    <n v="6"/>
    <n v="1"/>
    <s v="Medical"/>
    <n v="31"/>
    <n v="2"/>
    <x v="1"/>
    <n v="83"/>
    <n v="3"/>
    <x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  <x v="2"/>
    <x v="1"/>
    <s v="3-5 yrs"/>
    <x v="0"/>
    <s v="Very Dissatisfied"/>
    <n v="35520"/>
  </r>
  <r>
    <n v="53"/>
    <x v="1"/>
    <s v="Travel_Rarely"/>
    <n v="1282"/>
    <x v="1"/>
    <n v="5"/>
    <n v="3"/>
    <s v="Other"/>
    <n v="32"/>
    <n v="3"/>
    <x v="0"/>
    <n v="58"/>
    <n v="3"/>
    <x v="4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x v="1"/>
    <x v="3"/>
    <s v="10+ yrs"/>
    <x v="0"/>
    <s v="Satisfied"/>
    <n v="229128"/>
  </r>
  <r>
    <n v="32"/>
    <x v="0"/>
    <s v="Travel_Frequently"/>
    <n v="1125"/>
    <x v="1"/>
    <n v="16"/>
    <n v="1"/>
    <s v="Life Sciences"/>
    <n v="33"/>
    <n v="2"/>
    <x v="0"/>
    <n v="72"/>
    <n v="1"/>
    <x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  <x v="2"/>
    <x v="0"/>
    <s v="6-10 yrs"/>
    <x v="1"/>
    <s v="Very Dissatisfied"/>
    <n v="47028"/>
  </r>
  <r>
    <n v="42"/>
    <x v="1"/>
    <s v="Travel_Rarely"/>
    <n v="691"/>
    <x v="0"/>
    <n v="8"/>
    <n v="4"/>
    <s v="Marketing"/>
    <n v="35"/>
    <n v="3"/>
    <x v="1"/>
    <n v="48"/>
    <n v="3"/>
    <x v="0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  <x v="0"/>
    <x v="2"/>
    <s v="6-10 yrs"/>
    <x v="0"/>
    <s v="Dissatisfied"/>
    <n v="81900"/>
  </r>
  <r>
    <n v="44"/>
    <x v="1"/>
    <s v="Travel_Rarely"/>
    <n v="477"/>
    <x v="1"/>
    <n v="7"/>
    <n v="4"/>
    <s v="Medical"/>
    <n v="36"/>
    <n v="1"/>
    <x v="0"/>
    <n v="42"/>
    <n v="2"/>
    <x v="2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x v="0"/>
    <x v="3"/>
    <s v="10+ yrs"/>
    <x v="0"/>
    <s v="Very Satisfied"/>
    <n v="122976"/>
  </r>
  <r>
    <n v="46"/>
    <x v="1"/>
    <s v="Travel_Rarely"/>
    <n v="705"/>
    <x v="0"/>
    <n v="2"/>
    <n v="4"/>
    <s v="Marketing"/>
    <n v="38"/>
    <n v="2"/>
    <x v="0"/>
    <n v="83"/>
    <n v="3"/>
    <x v="4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  <x v="1"/>
    <x v="3"/>
    <s v="0-2 yrs"/>
    <x v="0"/>
    <s v="Very Dissatisfied"/>
    <n v="227364"/>
  </r>
  <r>
    <n v="33"/>
    <x v="1"/>
    <s v="Travel_Rarely"/>
    <n v="924"/>
    <x v="1"/>
    <n v="2"/>
    <n v="3"/>
    <s v="Medical"/>
    <n v="39"/>
    <n v="3"/>
    <x v="1"/>
    <n v="78"/>
    <n v="3"/>
    <x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  <x v="2"/>
    <x v="1"/>
    <s v="0-2 yrs"/>
    <x v="0"/>
    <s v="Very Satisfied"/>
    <n v="29952"/>
  </r>
  <r>
    <n v="44"/>
    <x v="1"/>
    <s v="Travel_Rarely"/>
    <n v="1459"/>
    <x v="1"/>
    <n v="10"/>
    <n v="4"/>
    <s v="Other"/>
    <n v="40"/>
    <n v="4"/>
    <x v="1"/>
    <n v="41"/>
    <n v="3"/>
    <x v="0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  <x v="0"/>
    <x v="2"/>
    <s v="3-5 yrs"/>
    <x v="0"/>
    <s v="Very Satisfied"/>
    <n v="77580"/>
  </r>
  <r>
    <n v="30"/>
    <x v="1"/>
    <s v="Travel_Rarely"/>
    <n v="125"/>
    <x v="1"/>
    <n v="9"/>
    <n v="2"/>
    <s v="Medical"/>
    <n v="41"/>
    <n v="4"/>
    <x v="1"/>
    <n v="83"/>
    <n v="2"/>
    <x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  <x v="2"/>
    <x v="1"/>
    <s v="6-10 yrs"/>
    <x v="0"/>
    <s v="Satisfied"/>
    <n v="26472"/>
  </r>
  <r>
    <n v="39"/>
    <x v="0"/>
    <s v="Travel_Rarely"/>
    <n v="895"/>
    <x v="0"/>
    <n v="5"/>
    <n v="3"/>
    <s v="Technical Degree"/>
    <n v="42"/>
    <n v="4"/>
    <x v="1"/>
    <n v="56"/>
    <n v="3"/>
    <x v="0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  <x v="0"/>
    <x v="1"/>
    <s v="0-2 yrs"/>
    <x v="0"/>
    <s v="Very Satisfied"/>
    <n v="25032"/>
  </r>
  <r>
    <n v="24"/>
    <x v="0"/>
    <s v="Travel_Rarely"/>
    <n v="813"/>
    <x v="1"/>
    <n v="1"/>
    <n v="3"/>
    <s v="Medical"/>
    <n v="45"/>
    <n v="2"/>
    <x v="1"/>
    <n v="61"/>
    <n v="3"/>
    <x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  <x v="3"/>
    <x v="1"/>
    <s v="0-2 yrs"/>
    <x v="0"/>
    <s v="Very Satisfied"/>
    <n v="27516"/>
  </r>
  <r>
    <n v="43"/>
    <x v="1"/>
    <s v="Travel_Rarely"/>
    <n v="1273"/>
    <x v="1"/>
    <n v="2"/>
    <n v="2"/>
    <s v="Medical"/>
    <n v="46"/>
    <n v="4"/>
    <x v="0"/>
    <n v="72"/>
    <n v="4"/>
    <x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  <x v="0"/>
    <x v="1"/>
    <s v="3-5 yrs"/>
    <x v="0"/>
    <s v="Satisfied"/>
    <n v="31740"/>
  </r>
  <r>
    <n v="50"/>
    <x v="0"/>
    <s v="Travel_Rarely"/>
    <n v="869"/>
    <x v="0"/>
    <n v="3"/>
    <n v="2"/>
    <s v="Marketing"/>
    <n v="47"/>
    <n v="1"/>
    <x v="1"/>
    <n v="86"/>
    <n v="2"/>
    <x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  <x v="1"/>
    <x v="1"/>
    <s v="3-5 yrs"/>
    <x v="0"/>
    <s v="Satisfied"/>
    <n v="32196"/>
  </r>
  <r>
    <n v="35"/>
    <x v="1"/>
    <s v="Travel_Rarely"/>
    <n v="890"/>
    <x v="0"/>
    <n v="2"/>
    <n v="3"/>
    <s v="Marketing"/>
    <n v="49"/>
    <n v="4"/>
    <x v="0"/>
    <n v="97"/>
    <n v="3"/>
    <x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  <x v="2"/>
    <x v="1"/>
    <s v="0-2 yrs"/>
    <x v="0"/>
    <s v="Very Satisfied"/>
    <n v="24168"/>
  </r>
  <r>
    <n v="36"/>
    <x v="1"/>
    <s v="Travel_Rarely"/>
    <n v="852"/>
    <x v="1"/>
    <n v="5"/>
    <n v="4"/>
    <s v="Life Sciences"/>
    <n v="51"/>
    <n v="2"/>
    <x v="0"/>
    <n v="82"/>
    <n v="2"/>
    <x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  <x v="0"/>
    <x v="0"/>
    <s v="0-2 yrs"/>
    <x v="0"/>
    <s v="Very Dissatisfied"/>
    <n v="41028"/>
  </r>
  <r>
    <n v="33"/>
    <x v="1"/>
    <s v="Travel_Frequently"/>
    <n v="1141"/>
    <x v="0"/>
    <n v="1"/>
    <n v="3"/>
    <s v="Life Sciences"/>
    <n v="52"/>
    <n v="3"/>
    <x v="0"/>
    <n v="42"/>
    <n v="4"/>
    <x v="0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  <x v="2"/>
    <x v="0"/>
    <s v="3-5 yrs"/>
    <x v="0"/>
    <s v="Very Dissatisfied"/>
    <n v="64512"/>
  </r>
  <r>
    <n v="35"/>
    <x v="1"/>
    <s v="Travel_Rarely"/>
    <n v="464"/>
    <x v="1"/>
    <n v="4"/>
    <n v="2"/>
    <s v="Other"/>
    <n v="53"/>
    <n v="3"/>
    <x v="1"/>
    <n v="75"/>
    <n v="3"/>
    <x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  <x v="2"/>
    <x v="1"/>
    <s v="0-2 yrs"/>
    <x v="0"/>
    <s v="Very Satisfied"/>
    <n v="23412"/>
  </r>
  <r>
    <n v="27"/>
    <x v="1"/>
    <s v="Travel_Rarely"/>
    <n v="1240"/>
    <x v="1"/>
    <n v="2"/>
    <n v="4"/>
    <s v="Life Sciences"/>
    <n v="54"/>
    <n v="4"/>
    <x v="0"/>
    <n v="33"/>
    <n v="3"/>
    <x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  <x v="2"/>
    <x v="1"/>
    <s v="0-2 yrs"/>
    <x v="0"/>
    <s v="Very Dissatisfied"/>
    <n v="28092"/>
  </r>
  <r>
    <n v="26"/>
    <x v="0"/>
    <s v="Travel_Rarely"/>
    <n v="1357"/>
    <x v="1"/>
    <n v="25"/>
    <n v="3"/>
    <s v="Life Sciences"/>
    <n v="55"/>
    <n v="1"/>
    <x v="1"/>
    <n v="48"/>
    <n v="1"/>
    <x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  <x v="2"/>
    <x v="1"/>
    <s v="0-2 yrs"/>
    <x v="0"/>
    <s v="Satisfied"/>
    <n v="27516"/>
  </r>
  <r>
    <n v="27"/>
    <x v="1"/>
    <s v="Travel_Frequently"/>
    <n v="994"/>
    <x v="0"/>
    <n v="8"/>
    <n v="3"/>
    <s v="Life Sciences"/>
    <n v="56"/>
    <n v="4"/>
    <x v="1"/>
    <n v="37"/>
    <n v="3"/>
    <x v="2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  <x v="2"/>
    <x v="2"/>
    <s v="6-10 yrs"/>
    <x v="0"/>
    <s v="Satisfied"/>
    <n v="104712"/>
  </r>
  <r>
    <n v="30"/>
    <x v="1"/>
    <s v="Travel_Frequently"/>
    <n v="721"/>
    <x v="1"/>
    <n v="1"/>
    <n v="2"/>
    <s v="Medical"/>
    <n v="57"/>
    <n v="3"/>
    <x v="0"/>
    <n v="58"/>
    <n v="3"/>
    <x v="0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  <x v="2"/>
    <x v="0"/>
    <s v="10+ yrs"/>
    <x v="1"/>
    <s v="Very Satisfied"/>
    <n v="48132"/>
  </r>
  <r>
    <n v="41"/>
    <x v="0"/>
    <s v="Travel_Rarely"/>
    <n v="1360"/>
    <x v="1"/>
    <n v="12"/>
    <n v="3"/>
    <s v="Technical Degree"/>
    <n v="58"/>
    <n v="2"/>
    <x v="0"/>
    <n v="49"/>
    <n v="3"/>
    <x v="4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x v="0"/>
    <x v="3"/>
    <s v="10+ yrs"/>
    <x v="0"/>
    <s v="Satisfied"/>
    <n v="234540"/>
  </r>
  <r>
    <n v="34"/>
    <x v="1"/>
    <s v="Non-Travel"/>
    <n v="1065"/>
    <x v="0"/>
    <n v="23"/>
    <n v="4"/>
    <s v="Marketing"/>
    <n v="60"/>
    <n v="2"/>
    <x v="1"/>
    <n v="72"/>
    <n v="3"/>
    <x v="0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  <x v="2"/>
    <x v="0"/>
    <s v="6-10 yrs"/>
    <x v="1"/>
    <s v="Satisfied"/>
    <n v="54816"/>
  </r>
  <r>
    <n v="37"/>
    <x v="1"/>
    <s v="Travel_Rarely"/>
    <n v="408"/>
    <x v="1"/>
    <n v="19"/>
    <n v="2"/>
    <s v="Life Sciences"/>
    <n v="61"/>
    <n v="2"/>
    <x v="1"/>
    <n v="73"/>
    <n v="3"/>
    <x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  <x v="0"/>
    <x v="0"/>
    <s v="0-2 yrs"/>
    <x v="1"/>
    <s v="Dissatisfied"/>
    <n v="36264"/>
  </r>
  <r>
    <n v="46"/>
    <x v="1"/>
    <s v="Travel_Frequently"/>
    <n v="1211"/>
    <x v="0"/>
    <n v="5"/>
    <n v="4"/>
    <s v="Marketing"/>
    <n v="62"/>
    <n v="1"/>
    <x v="1"/>
    <n v="98"/>
    <n v="3"/>
    <x v="0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  <x v="1"/>
    <x v="0"/>
    <s v="6-10 yrs"/>
    <x v="1"/>
    <s v="Very Satisfied"/>
    <n v="69264"/>
  </r>
  <r>
    <n v="35"/>
    <x v="1"/>
    <s v="Travel_Rarely"/>
    <n v="1229"/>
    <x v="1"/>
    <n v="8"/>
    <n v="1"/>
    <s v="Life Sciences"/>
    <n v="63"/>
    <n v="4"/>
    <x v="1"/>
    <n v="36"/>
    <n v="4"/>
    <x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  <x v="2"/>
    <x v="1"/>
    <s v="0-2 yrs"/>
    <x v="0"/>
    <s v="Very Satisfied"/>
    <n v="27228"/>
  </r>
  <r>
    <n v="48"/>
    <x v="0"/>
    <s v="Travel_Rarely"/>
    <n v="626"/>
    <x v="1"/>
    <n v="1"/>
    <n v="2"/>
    <s v="Life Sciences"/>
    <n v="64"/>
    <n v="1"/>
    <x v="1"/>
    <n v="98"/>
    <n v="2"/>
    <x v="2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  <x v="1"/>
    <x v="0"/>
    <s v="0-2 yrs"/>
    <x v="0"/>
    <s v="Satisfied"/>
    <n v="64572"/>
  </r>
  <r>
    <n v="28"/>
    <x v="0"/>
    <s v="Travel_Rarely"/>
    <n v="1434"/>
    <x v="1"/>
    <n v="5"/>
    <n v="4"/>
    <s v="Technical Degree"/>
    <n v="65"/>
    <n v="3"/>
    <x v="1"/>
    <n v="50"/>
    <n v="3"/>
    <x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  <x v="2"/>
    <x v="0"/>
    <s v="0-2 yrs"/>
    <x v="0"/>
    <s v="Satisfied"/>
    <n v="41292"/>
  </r>
  <r>
    <n v="44"/>
    <x v="1"/>
    <s v="Travel_Rarely"/>
    <n v="1488"/>
    <x v="0"/>
    <n v="1"/>
    <n v="5"/>
    <s v="Marketing"/>
    <n v="68"/>
    <n v="2"/>
    <x v="0"/>
    <n v="75"/>
    <n v="3"/>
    <x v="0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  <x v="0"/>
    <x v="0"/>
    <s v="3-5 yrs"/>
    <x v="1"/>
    <s v="Very Dissatisfied"/>
    <n v="65448"/>
  </r>
  <r>
    <n v="35"/>
    <x v="1"/>
    <s v="Non-Travel"/>
    <n v="1097"/>
    <x v="1"/>
    <n v="11"/>
    <n v="2"/>
    <s v="Medical"/>
    <n v="70"/>
    <n v="3"/>
    <x v="1"/>
    <n v="79"/>
    <n v="2"/>
    <x v="2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  <x v="2"/>
    <x v="2"/>
    <s v="3-5 yrs"/>
    <x v="0"/>
    <s v="Very Dissatisfied"/>
    <n v="118608"/>
  </r>
  <r>
    <n v="26"/>
    <x v="1"/>
    <s v="Travel_Rarely"/>
    <n v="1443"/>
    <x v="0"/>
    <n v="23"/>
    <n v="3"/>
    <s v="Marketing"/>
    <n v="72"/>
    <n v="3"/>
    <x v="0"/>
    <n v="47"/>
    <n v="2"/>
    <x v="0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  <x v="2"/>
    <x v="0"/>
    <s v="0-2 yrs"/>
    <x v="0"/>
    <s v="Very Satisfied"/>
    <n v="49884"/>
  </r>
  <r>
    <n v="33"/>
    <x v="1"/>
    <s v="Travel_Frequently"/>
    <n v="515"/>
    <x v="1"/>
    <n v="1"/>
    <n v="2"/>
    <s v="Life Sciences"/>
    <n v="73"/>
    <n v="1"/>
    <x v="0"/>
    <n v="98"/>
    <n v="3"/>
    <x v="2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x v="2"/>
    <x v="3"/>
    <s v="10+ yrs"/>
    <x v="0"/>
    <s v="Very Satisfied"/>
    <n v="161496"/>
  </r>
  <r>
    <n v="35"/>
    <x v="1"/>
    <s v="Travel_Frequently"/>
    <n v="853"/>
    <x v="0"/>
    <n v="18"/>
    <n v="5"/>
    <s v="Life Sciences"/>
    <n v="74"/>
    <n v="2"/>
    <x v="1"/>
    <n v="71"/>
    <n v="3"/>
    <x v="2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  <x v="2"/>
    <x v="2"/>
    <s v="6-10 yrs"/>
    <x v="1"/>
    <s v="Very Dissatisfied"/>
    <n v="108828"/>
  </r>
  <r>
    <n v="35"/>
    <x v="1"/>
    <s v="Travel_Rarely"/>
    <n v="1142"/>
    <x v="1"/>
    <n v="23"/>
    <n v="4"/>
    <s v="Medical"/>
    <n v="75"/>
    <n v="3"/>
    <x v="0"/>
    <n v="30"/>
    <n v="3"/>
    <x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  <x v="2"/>
    <x v="0"/>
    <s v="0-2 yrs"/>
    <x v="0"/>
    <s v="Very Dissatisfied"/>
    <n v="48168"/>
  </r>
  <r>
    <n v="31"/>
    <x v="1"/>
    <s v="Travel_Rarely"/>
    <n v="655"/>
    <x v="1"/>
    <n v="7"/>
    <n v="4"/>
    <s v="Life Sciences"/>
    <n v="76"/>
    <n v="4"/>
    <x v="1"/>
    <n v="48"/>
    <n v="3"/>
    <x v="0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  <x v="2"/>
    <x v="0"/>
    <s v="6-10 yrs"/>
    <x v="1"/>
    <s v="Very Satisfied"/>
    <n v="70980"/>
  </r>
  <r>
    <n v="37"/>
    <x v="1"/>
    <s v="Travel_Rarely"/>
    <n v="1115"/>
    <x v="1"/>
    <n v="1"/>
    <n v="4"/>
    <s v="Life Sciences"/>
    <n v="77"/>
    <n v="1"/>
    <x v="1"/>
    <n v="51"/>
    <n v="2"/>
    <x v="0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  <x v="0"/>
    <x v="0"/>
    <s v="6-10 yrs"/>
    <x v="0"/>
    <s v="Satisfied"/>
    <n v="71916"/>
  </r>
  <r>
    <n v="32"/>
    <x v="1"/>
    <s v="Travel_Rarely"/>
    <n v="427"/>
    <x v="1"/>
    <n v="1"/>
    <n v="3"/>
    <s v="Medical"/>
    <n v="78"/>
    <n v="1"/>
    <x v="1"/>
    <n v="33"/>
    <n v="3"/>
    <x v="0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  <x v="2"/>
    <x v="2"/>
    <s v="6-10 yrs"/>
    <x v="1"/>
    <s v="Very Satisfied"/>
    <n v="73944"/>
  </r>
  <r>
    <n v="38"/>
    <x v="1"/>
    <s v="Travel_Frequently"/>
    <n v="653"/>
    <x v="1"/>
    <n v="29"/>
    <n v="5"/>
    <s v="Life Sciences"/>
    <n v="79"/>
    <n v="4"/>
    <x v="0"/>
    <n v="50"/>
    <n v="3"/>
    <x v="0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  <x v="0"/>
    <x v="1"/>
    <s v="6-10 yrs"/>
    <x v="0"/>
    <s v="Very Satisfied"/>
    <n v="28872"/>
  </r>
  <r>
    <n v="50"/>
    <x v="1"/>
    <s v="Travel_Rarely"/>
    <n v="989"/>
    <x v="1"/>
    <n v="7"/>
    <n v="2"/>
    <s v="Medical"/>
    <n v="80"/>
    <n v="2"/>
    <x v="0"/>
    <n v="43"/>
    <n v="2"/>
    <x v="4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x v="1"/>
    <x v="3"/>
    <s v="10+ yrs"/>
    <x v="0"/>
    <s v="Satisfied"/>
    <n v="224880"/>
  </r>
  <r>
    <n v="59"/>
    <x v="1"/>
    <s v="Travel_Rarely"/>
    <n v="1435"/>
    <x v="0"/>
    <n v="25"/>
    <n v="3"/>
    <s v="Life Sciences"/>
    <n v="81"/>
    <n v="1"/>
    <x v="0"/>
    <n v="99"/>
    <n v="3"/>
    <x v="2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  <x v="1"/>
    <x v="2"/>
    <s v="10+ yrs"/>
    <x v="0"/>
    <s v="Very Dissatisfied"/>
    <n v="91644"/>
  </r>
  <r>
    <n v="36"/>
    <x v="1"/>
    <s v="Travel_Rarely"/>
    <n v="1223"/>
    <x v="1"/>
    <n v="8"/>
    <n v="3"/>
    <s v="Technical Degree"/>
    <n v="83"/>
    <n v="3"/>
    <x v="0"/>
    <n v="59"/>
    <n v="3"/>
    <x v="2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x v="0"/>
    <x v="3"/>
    <s v="10+ yrs"/>
    <x v="0"/>
    <s v="Satisfied"/>
    <n v="121152"/>
  </r>
  <r>
    <n v="55"/>
    <x v="1"/>
    <s v="Travel_Rarely"/>
    <n v="836"/>
    <x v="1"/>
    <n v="8"/>
    <n v="3"/>
    <s v="Medical"/>
    <n v="84"/>
    <n v="4"/>
    <x v="0"/>
    <n v="33"/>
    <n v="3"/>
    <x v="3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x v="1"/>
    <x v="3"/>
    <s v="3-5 yrs"/>
    <x v="0"/>
    <s v="Satisfied"/>
    <n v="177072"/>
  </r>
  <r>
    <n v="36"/>
    <x v="1"/>
    <s v="Travel_Frequently"/>
    <n v="1195"/>
    <x v="1"/>
    <n v="11"/>
    <n v="3"/>
    <s v="Life Sciences"/>
    <n v="85"/>
    <n v="2"/>
    <x v="1"/>
    <n v="95"/>
    <n v="2"/>
    <x v="0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  <x v="0"/>
    <x v="2"/>
    <s v="6-10 yrs"/>
    <x v="0"/>
    <s v="Dissatisfied"/>
    <n v="77988"/>
  </r>
  <r>
    <n v="45"/>
    <x v="1"/>
    <s v="Travel_Rarely"/>
    <n v="1339"/>
    <x v="1"/>
    <n v="7"/>
    <n v="3"/>
    <s v="Life Sciences"/>
    <n v="86"/>
    <n v="2"/>
    <x v="1"/>
    <n v="59"/>
    <n v="3"/>
    <x v="2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x v="0"/>
    <x v="2"/>
    <s v="0-2 yrs"/>
    <x v="0"/>
    <s v="Very Dissatisfied"/>
    <n v="116688"/>
  </r>
  <r>
    <n v="35"/>
    <x v="1"/>
    <s v="Travel_Frequently"/>
    <n v="664"/>
    <x v="1"/>
    <n v="1"/>
    <n v="3"/>
    <s v="Medical"/>
    <n v="88"/>
    <n v="2"/>
    <x v="1"/>
    <n v="79"/>
    <n v="3"/>
    <x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  <x v="2"/>
    <x v="1"/>
    <s v="3-5 yrs"/>
    <x v="0"/>
    <s v="Very Dissatisfied"/>
    <n v="26328"/>
  </r>
  <r>
    <n v="36"/>
    <x v="0"/>
    <s v="Travel_Rarely"/>
    <n v="318"/>
    <x v="1"/>
    <n v="9"/>
    <n v="3"/>
    <s v="Medical"/>
    <n v="90"/>
    <n v="4"/>
    <x v="1"/>
    <n v="79"/>
    <n v="2"/>
    <x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  <x v="0"/>
    <x v="0"/>
    <s v="0-2 yrs"/>
    <x v="0"/>
    <s v="Satisfied"/>
    <n v="40656"/>
  </r>
  <r>
    <n v="59"/>
    <x v="1"/>
    <s v="Travel_Frequently"/>
    <n v="1225"/>
    <x v="0"/>
    <n v="1"/>
    <n v="1"/>
    <s v="Life Sciences"/>
    <n v="91"/>
    <n v="1"/>
    <x v="0"/>
    <n v="57"/>
    <n v="2"/>
    <x v="0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  <x v="1"/>
    <x v="0"/>
    <s v="3-5 yrs"/>
    <x v="0"/>
    <s v="Satisfied"/>
    <n v="65676"/>
  </r>
  <r>
    <n v="29"/>
    <x v="1"/>
    <s v="Travel_Rarely"/>
    <n v="1328"/>
    <x v="1"/>
    <n v="2"/>
    <n v="3"/>
    <s v="Life Sciences"/>
    <n v="94"/>
    <n v="3"/>
    <x v="1"/>
    <n v="76"/>
    <n v="3"/>
    <x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  <x v="2"/>
    <x v="1"/>
    <s v="3-5 yrs"/>
    <x v="1"/>
    <s v="Dissatisfied"/>
    <n v="32436"/>
  </r>
  <r>
    <n v="31"/>
    <x v="1"/>
    <s v="Travel_Rarely"/>
    <n v="1082"/>
    <x v="1"/>
    <n v="1"/>
    <n v="4"/>
    <s v="Medical"/>
    <n v="95"/>
    <n v="3"/>
    <x v="1"/>
    <n v="87"/>
    <n v="3"/>
    <x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  <x v="2"/>
    <x v="1"/>
    <s v="0-2 yrs"/>
    <x v="0"/>
    <s v="Dissatisfied"/>
    <n v="30012"/>
  </r>
  <r>
    <n v="32"/>
    <x v="1"/>
    <s v="Travel_Rarely"/>
    <n v="548"/>
    <x v="1"/>
    <n v="1"/>
    <n v="3"/>
    <s v="Life Sciences"/>
    <n v="96"/>
    <n v="2"/>
    <x v="1"/>
    <n v="66"/>
    <n v="3"/>
    <x v="0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  <x v="2"/>
    <x v="2"/>
    <s v="6-10 yrs"/>
    <x v="0"/>
    <s v="Dissatisfied"/>
    <n v="74640"/>
  </r>
  <r>
    <n v="36"/>
    <x v="1"/>
    <s v="Travel_Rarely"/>
    <n v="132"/>
    <x v="1"/>
    <n v="6"/>
    <n v="3"/>
    <s v="Life Sciences"/>
    <n v="97"/>
    <n v="2"/>
    <x v="0"/>
    <n v="55"/>
    <n v="4"/>
    <x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  <x v="0"/>
    <x v="0"/>
    <s v="0-2 yrs"/>
    <x v="0"/>
    <s v="Very Satisfied"/>
    <n v="36456"/>
  </r>
  <r>
    <n v="31"/>
    <x v="1"/>
    <s v="Travel_Rarely"/>
    <n v="746"/>
    <x v="1"/>
    <n v="8"/>
    <n v="4"/>
    <s v="Life Sciences"/>
    <n v="98"/>
    <n v="3"/>
    <x v="0"/>
    <n v="61"/>
    <n v="3"/>
    <x v="0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  <x v="2"/>
    <x v="0"/>
    <s v="10+ yrs"/>
    <x v="1"/>
    <s v="Very Satisfied"/>
    <n v="53088"/>
  </r>
  <r>
    <n v="35"/>
    <x v="1"/>
    <s v="Travel_Rarely"/>
    <n v="776"/>
    <x v="0"/>
    <n v="1"/>
    <n v="4"/>
    <s v="Marketing"/>
    <n v="100"/>
    <n v="3"/>
    <x v="1"/>
    <n v="32"/>
    <n v="2"/>
    <x v="0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x v="2"/>
    <x v="0"/>
    <s v="10+ yrs"/>
    <x v="0"/>
    <s v="Very Dissatisfied"/>
    <n v="51744"/>
  </r>
  <r>
    <n v="45"/>
    <x v="1"/>
    <s v="Travel_Rarely"/>
    <n v="193"/>
    <x v="1"/>
    <n v="6"/>
    <n v="4"/>
    <s v="Other"/>
    <n v="101"/>
    <n v="4"/>
    <x v="1"/>
    <n v="52"/>
    <n v="3"/>
    <x v="2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x v="0"/>
    <x v="3"/>
    <s v="0-2 yrs"/>
    <x v="0"/>
    <s v="Very Dissatisfied"/>
    <n v="158940"/>
  </r>
  <r>
    <n v="37"/>
    <x v="1"/>
    <s v="Travel_Rarely"/>
    <n v="397"/>
    <x v="1"/>
    <n v="7"/>
    <n v="4"/>
    <s v="Medical"/>
    <n v="102"/>
    <n v="1"/>
    <x v="1"/>
    <n v="30"/>
    <n v="3"/>
    <x v="2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  <x v="0"/>
    <x v="3"/>
    <s v="3-5 yrs"/>
    <x v="0"/>
    <s v="Satisfied"/>
    <n v="163968"/>
  </r>
  <r>
    <n v="46"/>
    <x v="1"/>
    <s v="Travel_Rarely"/>
    <n v="945"/>
    <x v="2"/>
    <n v="5"/>
    <n v="2"/>
    <s v="Medical"/>
    <n v="103"/>
    <n v="2"/>
    <x v="1"/>
    <n v="80"/>
    <n v="3"/>
    <x v="0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x v="1"/>
    <x v="0"/>
    <s v="3-5 yrs"/>
    <x v="1"/>
    <s v="Dissatisfied"/>
    <n v="60252"/>
  </r>
  <r>
    <n v="30"/>
    <x v="1"/>
    <s v="Travel_Rarely"/>
    <n v="852"/>
    <x v="1"/>
    <n v="1"/>
    <n v="1"/>
    <s v="Life Sciences"/>
    <n v="104"/>
    <n v="4"/>
    <x v="1"/>
    <n v="55"/>
    <n v="2"/>
    <x v="0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x v="2"/>
    <x v="0"/>
    <s v="6-10 yrs"/>
    <x v="0"/>
    <s v="Very Satisfied"/>
    <n v="61512"/>
  </r>
  <r>
    <n v="35"/>
    <x v="1"/>
    <s v="Travel_Rarely"/>
    <n v="1214"/>
    <x v="1"/>
    <n v="1"/>
    <n v="3"/>
    <s v="Medical"/>
    <n v="105"/>
    <n v="2"/>
    <x v="1"/>
    <n v="30"/>
    <n v="2"/>
    <x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  <x v="2"/>
    <x v="1"/>
    <s v="6-10 yrs"/>
    <x v="0"/>
    <s v="Satisfied"/>
    <n v="34308"/>
  </r>
  <r>
    <n v="55"/>
    <x v="1"/>
    <s v="Travel_Rarely"/>
    <n v="111"/>
    <x v="0"/>
    <n v="1"/>
    <n v="2"/>
    <s v="Life Sciences"/>
    <n v="106"/>
    <n v="1"/>
    <x v="1"/>
    <n v="70"/>
    <n v="3"/>
    <x v="2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x v="1"/>
    <x v="3"/>
    <s v="0-2 yrs"/>
    <x v="0"/>
    <s v="Very Satisfied"/>
    <n v="122868"/>
  </r>
  <r>
    <n v="38"/>
    <x v="1"/>
    <s v="Non-Travel"/>
    <n v="573"/>
    <x v="1"/>
    <n v="6"/>
    <n v="3"/>
    <s v="Medical"/>
    <n v="107"/>
    <n v="2"/>
    <x v="0"/>
    <n v="79"/>
    <n v="1"/>
    <x v="0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x v="0"/>
    <x v="0"/>
    <s v="10+ yrs"/>
    <x v="0"/>
    <s v="Very Satisfied"/>
    <n v="63948"/>
  </r>
  <r>
    <n v="34"/>
    <x v="1"/>
    <s v="Travel_Rarely"/>
    <n v="1153"/>
    <x v="1"/>
    <n v="1"/>
    <n v="2"/>
    <s v="Medical"/>
    <n v="110"/>
    <n v="1"/>
    <x v="1"/>
    <n v="94"/>
    <n v="3"/>
    <x v="0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  <x v="2"/>
    <x v="0"/>
    <s v="3-5 yrs"/>
    <x v="0"/>
    <s v="Dissatisfied"/>
    <n v="51900"/>
  </r>
  <r>
    <n v="56"/>
    <x v="1"/>
    <s v="Travel_Rarely"/>
    <n v="1400"/>
    <x v="1"/>
    <n v="7"/>
    <n v="3"/>
    <s v="Life Sciences"/>
    <n v="112"/>
    <n v="4"/>
    <x v="1"/>
    <n v="49"/>
    <n v="1"/>
    <x v="2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  <x v="1"/>
    <x v="2"/>
    <s v="6-10 yrs"/>
    <x v="0"/>
    <s v="Very Satisfied"/>
    <n v="87120"/>
  </r>
  <r>
    <n v="23"/>
    <x v="1"/>
    <s v="Travel_Rarely"/>
    <n v="541"/>
    <x v="0"/>
    <n v="2"/>
    <n v="1"/>
    <s v="Technical Degree"/>
    <n v="113"/>
    <n v="3"/>
    <x v="1"/>
    <n v="62"/>
    <n v="3"/>
    <x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  <x v="3"/>
    <x v="1"/>
    <s v="0-2 yrs"/>
    <x v="0"/>
    <s v="Very Dissatisfied"/>
    <n v="27864"/>
  </r>
  <r>
    <n v="51"/>
    <x v="1"/>
    <s v="Travel_Rarely"/>
    <n v="432"/>
    <x v="1"/>
    <n v="9"/>
    <n v="4"/>
    <s v="Life Sciences"/>
    <n v="116"/>
    <n v="4"/>
    <x v="1"/>
    <n v="96"/>
    <n v="3"/>
    <x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  <x v="1"/>
    <x v="1"/>
    <s v="3-5 yrs"/>
    <x v="1"/>
    <s v="Very Satisfied"/>
    <n v="24900"/>
  </r>
  <r>
    <n v="30"/>
    <x v="1"/>
    <s v="Travel_Rarely"/>
    <n v="288"/>
    <x v="1"/>
    <n v="2"/>
    <n v="3"/>
    <s v="Life Sciences"/>
    <n v="117"/>
    <n v="3"/>
    <x v="1"/>
    <n v="99"/>
    <n v="2"/>
    <x v="0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x v="2"/>
    <x v="0"/>
    <s v="10+ yrs"/>
    <x v="0"/>
    <s v="Very Satisfied"/>
    <n v="49824"/>
  </r>
  <r>
    <n v="46"/>
    <x v="0"/>
    <s v="Travel_Rarely"/>
    <n v="669"/>
    <x v="0"/>
    <n v="9"/>
    <n v="2"/>
    <s v="Medical"/>
    <n v="118"/>
    <n v="3"/>
    <x v="1"/>
    <n v="64"/>
    <n v="2"/>
    <x v="2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  <x v="1"/>
    <x v="2"/>
    <s v="6-10 yrs"/>
    <x v="0"/>
    <s v="Very Satisfied"/>
    <n v="115428"/>
  </r>
  <r>
    <n v="40"/>
    <x v="1"/>
    <s v="Travel_Frequently"/>
    <n v="530"/>
    <x v="1"/>
    <n v="1"/>
    <n v="4"/>
    <s v="Life Sciences"/>
    <n v="119"/>
    <n v="3"/>
    <x v="1"/>
    <n v="78"/>
    <n v="2"/>
    <x v="3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x v="0"/>
    <x v="3"/>
    <s v="10+ yrs"/>
    <x v="1"/>
    <s v="Dissatisfied"/>
    <n v="162036"/>
  </r>
  <r>
    <n v="51"/>
    <x v="1"/>
    <s v="Travel_Rarely"/>
    <n v="632"/>
    <x v="0"/>
    <n v="21"/>
    <n v="4"/>
    <s v="Marketing"/>
    <n v="120"/>
    <n v="3"/>
    <x v="1"/>
    <n v="71"/>
    <n v="3"/>
    <x v="0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  <x v="1"/>
    <x v="0"/>
    <s v="6-10 yrs"/>
    <x v="1"/>
    <s v="Very Satisfied"/>
    <n v="65292"/>
  </r>
  <r>
    <n v="30"/>
    <x v="1"/>
    <s v="Travel_Rarely"/>
    <n v="1334"/>
    <x v="0"/>
    <n v="4"/>
    <n v="2"/>
    <s v="Medical"/>
    <n v="121"/>
    <n v="3"/>
    <x v="0"/>
    <n v="63"/>
    <n v="2"/>
    <x v="0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x v="2"/>
    <x v="0"/>
    <s v="10+ yrs"/>
    <x v="0"/>
    <s v="Dissatisfied"/>
    <n v="62508"/>
  </r>
  <r>
    <n v="46"/>
    <x v="1"/>
    <s v="Travel_Frequently"/>
    <n v="638"/>
    <x v="1"/>
    <n v="1"/>
    <n v="3"/>
    <s v="Medical"/>
    <n v="124"/>
    <n v="3"/>
    <x v="1"/>
    <n v="40"/>
    <n v="2"/>
    <x v="2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x v="1"/>
    <x v="3"/>
    <s v="6-10 yrs"/>
    <x v="0"/>
    <s v="Very Dissatisfied"/>
    <n v="128076"/>
  </r>
  <r>
    <n v="32"/>
    <x v="1"/>
    <s v="Travel_Rarely"/>
    <n v="1093"/>
    <x v="0"/>
    <n v="6"/>
    <n v="4"/>
    <s v="Medical"/>
    <n v="125"/>
    <n v="2"/>
    <x v="1"/>
    <n v="87"/>
    <n v="3"/>
    <x v="0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  <x v="2"/>
    <x v="0"/>
    <s v="10+ yrs"/>
    <x v="0"/>
    <s v="Satisfied"/>
    <n v="60120"/>
  </r>
  <r>
    <n v="54"/>
    <x v="1"/>
    <s v="Travel_Rarely"/>
    <n v="1217"/>
    <x v="1"/>
    <n v="2"/>
    <n v="4"/>
    <s v="Technical Degree"/>
    <n v="126"/>
    <n v="1"/>
    <x v="0"/>
    <n v="60"/>
    <n v="3"/>
    <x v="2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x v="1"/>
    <x v="3"/>
    <s v="3-5 yrs"/>
    <x v="0"/>
    <s v="Satisfied"/>
    <n v="162588"/>
  </r>
  <r>
    <n v="24"/>
    <x v="1"/>
    <s v="Travel_Rarely"/>
    <n v="1353"/>
    <x v="0"/>
    <n v="3"/>
    <n v="2"/>
    <s v="Other"/>
    <n v="128"/>
    <n v="1"/>
    <x v="0"/>
    <n v="33"/>
    <n v="3"/>
    <x v="0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  <x v="3"/>
    <x v="0"/>
    <s v="3-5 yrs"/>
    <x v="1"/>
    <s v="Satisfied"/>
    <n v="59988"/>
  </r>
  <r>
    <n v="28"/>
    <x v="1"/>
    <s v="Non-Travel"/>
    <n v="120"/>
    <x v="0"/>
    <n v="4"/>
    <n v="3"/>
    <s v="Medical"/>
    <n v="129"/>
    <n v="2"/>
    <x v="1"/>
    <n v="43"/>
    <n v="3"/>
    <x v="0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  <x v="2"/>
    <x v="0"/>
    <s v="3-5 yrs"/>
    <x v="0"/>
    <s v="Satisfied"/>
    <n v="50652"/>
  </r>
  <r>
    <n v="58"/>
    <x v="1"/>
    <s v="Travel_Rarely"/>
    <n v="682"/>
    <x v="0"/>
    <n v="10"/>
    <n v="4"/>
    <s v="Medical"/>
    <n v="131"/>
    <n v="4"/>
    <x v="1"/>
    <n v="37"/>
    <n v="3"/>
    <x v="3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x v="1"/>
    <x v="3"/>
    <s v="10+ yrs"/>
    <x v="0"/>
    <s v="Satisfied"/>
    <n v="166464"/>
  </r>
  <r>
    <n v="44"/>
    <x v="1"/>
    <s v="Non-Travel"/>
    <n v="489"/>
    <x v="1"/>
    <n v="23"/>
    <n v="3"/>
    <s v="Medical"/>
    <n v="132"/>
    <n v="2"/>
    <x v="1"/>
    <n v="67"/>
    <n v="3"/>
    <x v="0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  <x v="0"/>
    <x v="1"/>
    <s v="3-5 yrs"/>
    <x v="0"/>
    <s v="Dissatisfied"/>
    <n v="24504"/>
  </r>
  <r>
    <n v="37"/>
    <x v="0"/>
    <s v="Travel_Rarely"/>
    <n v="807"/>
    <x v="2"/>
    <n v="6"/>
    <n v="4"/>
    <s v="Human Resources"/>
    <n v="133"/>
    <n v="3"/>
    <x v="1"/>
    <n v="63"/>
    <n v="3"/>
    <x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  <x v="0"/>
    <x v="1"/>
    <s v="3-5 yrs"/>
    <x v="1"/>
    <s v="Very Dissatisfied"/>
    <n v="24876"/>
  </r>
  <r>
    <n v="32"/>
    <x v="1"/>
    <s v="Travel_Rarely"/>
    <n v="827"/>
    <x v="1"/>
    <n v="1"/>
    <n v="1"/>
    <s v="Life Sciences"/>
    <n v="134"/>
    <n v="4"/>
    <x v="1"/>
    <n v="71"/>
    <n v="3"/>
    <x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  <x v="2"/>
    <x v="1"/>
    <s v="0-2 yrs"/>
    <x v="0"/>
    <s v="Very Dissatisfied"/>
    <n v="35472"/>
  </r>
  <r>
    <n v="20"/>
    <x v="0"/>
    <s v="Travel_Frequently"/>
    <n v="871"/>
    <x v="1"/>
    <n v="6"/>
    <n v="3"/>
    <s v="Life Sciences"/>
    <n v="137"/>
    <n v="4"/>
    <x v="0"/>
    <n v="66"/>
    <n v="2"/>
    <x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  <x v="3"/>
    <x v="1"/>
    <s v="0-2 yrs"/>
    <x v="0"/>
    <s v="Very Satisfied"/>
    <n v="35112"/>
  </r>
  <r>
    <n v="34"/>
    <x v="1"/>
    <s v="Travel_Rarely"/>
    <n v="665"/>
    <x v="1"/>
    <n v="6"/>
    <n v="4"/>
    <s v="Other"/>
    <n v="138"/>
    <n v="1"/>
    <x v="0"/>
    <n v="41"/>
    <n v="3"/>
    <x v="0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x v="2"/>
    <x v="0"/>
    <s v="10+ yrs"/>
    <x v="0"/>
    <s v="Satisfied"/>
    <n v="57708"/>
  </r>
  <r>
    <n v="37"/>
    <x v="1"/>
    <s v="Non-Travel"/>
    <n v="1040"/>
    <x v="1"/>
    <n v="2"/>
    <n v="2"/>
    <s v="Life Sciences"/>
    <n v="139"/>
    <n v="3"/>
    <x v="1"/>
    <n v="100"/>
    <n v="2"/>
    <x v="0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x v="0"/>
    <x v="0"/>
    <s v="0-2 yrs"/>
    <x v="0"/>
    <s v="Very Satisfied"/>
    <n v="61956"/>
  </r>
  <r>
    <n v="59"/>
    <x v="1"/>
    <s v="Non-Travel"/>
    <n v="1420"/>
    <x v="2"/>
    <n v="2"/>
    <n v="4"/>
    <s v="Human Resources"/>
    <n v="140"/>
    <n v="3"/>
    <x v="0"/>
    <n v="32"/>
    <n v="2"/>
    <x v="4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x v="1"/>
    <x v="3"/>
    <s v="3-5 yrs"/>
    <x v="1"/>
    <s v="Very Satisfied"/>
    <n v="226128"/>
  </r>
  <r>
    <n v="50"/>
    <x v="1"/>
    <s v="Travel_Frequently"/>
    <n v="1115"/>
    <x v="1"/>
    <n v="1"/>
    <n v="3"/>
    <s v="Life Sciences"/>
    <n v="141"/>
    <n v="1"/>
    <x v="0"/>
    <n v="73"/>
    <n v="3"/>
    <x v="4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  <x v="1"/>
    <x v="3"/>
    <s v="6-10 yrs"/>
    <x v="0"/>
    <s v="Dissatisfied"/>
    <n v="218064"/>
  </r>
  <r>
    <n v="25"/>
    <x v="0"/>
    <s v="Travel_Rarely"/>
    <n v="240"/>
    <x v="0"/>
    <n v="5"/>
    <n v="3"/>
    <s v="Marketing"/>
    <n v="142"/>
    <n v="3"/>
    <x v="1"/>
    <n v="46"/>
    <n v="2"/>
    <x v="0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  <x v="3"/>
    <x v="0"/>
    <s v="6-10 yrs"/>
    <x v="0"/>
    <s v="Satisfied"/>
    <n v="68928"/>
  </r>
  <r>
    <n v="25"/>
    <x v="1"/>
    <s v="Travel_Rarely"/>
    <n v="1280"/>
    <x v="1"/>
    <n v="7"/>
    <n v="1"/>
    <s v="Medical"/>
    <n v="143"/>
    <n v="4"/>
    <x v="1"/>
    <n v="64"/>
    <n v="2"/>
    <x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  <x v="3"/>
    <x v="1"/>
    <s v="0-2 yrs"/>
    <x v="0"/>
    <s v="Very Satisfied"/>
    <n v="34668"/>
  </r>
  <r>
    <n v="22"/>
    <x v="1"/>
    <s v="Travel_Rarely"/>
    <n v="534"/>
    <x v="1"/>
    <n v="15"/>
    <n v="3"/>
    <s v="Medical"/>
    <n v="144"/>
    <n v="2"/>
    <x v="0"/>
    <n v="59"/>
    <n v="3"/>
    <x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  <x v="3"/>
    <x v="1"/>
    <s v="0-2 yrs"/>
    <x v="0"/>
    <s v="Very Satisfied"/>
    <n v="34452"/>
  </r>
  <r>
    <n v="51"/>
    <x v="1"/>
    <s v="Travel_Frequently"/>
    <n v="1456"/>
    <x v="1"/>
    <n v="1"/>
    <n v="4"/>
    <s v="Medical"/>
    <n v="145"/>
    <n v="1"/>
    <x v="0"/>
    <n v="30"/>
    <n v="2"/>
    <x v="2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x v="1"/>
    <x v="2"/>
    <s v="10+ yrs"/>
    <x v="1"/>
    <s v="Very Dissatisfied"/>
    <n v="89808"/>
  </r>
  <r>
    <n v="34"/>
    <x v="0"/>
    <s v="Travel_Frequently"/>
    <n v="658"/>
    <x v="1"/>
    <n v="7"/>
    <n v="3"/>
    <s v="Life Sciences"/>
    <n v="147"/>
    <n v="1"/>
    <x v="1"/>
    <n v="66"/>
    <n v="1"/>
    <x v="0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  <x v="2"/>
    <x v="2"/>
    <s v="6-10 yrs"/>
    <x v="1"/>
    <s v="Satisfied"/>
    <n v="72888"/>
  </r>
  <r>
    <n v="54"/>
    <x v="1"/>
    <s v="Non-Travel"/>
    <n v="142"/>
    <x v="2"/>
    <n v="26"/>
    <n v="3"/>
    <s v="Human Resources"/>
    <n v="148"/>
    <n v="4"/>
    <x v="0"/>
    <n v="30"/>
    <n v="4"/>
    <x v="3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  <x v="1"/>
    <x v="3"/>
    <s v="3-5 yrs"/>
    <x v="0"/>
    <s v="Very Satisfied"/>
    <n v="207936"/>
  </r>
  <r>
    <n v="24"/>
    <x v="1"/>
    <s v="Travel_Rarely"/>
    <n v="1127"/>
    <x v="1"/>
    <n v="18"/>
    <n v="1"/>
    <s v="Life Sciences"/>
    <n v="150"/>
    <n v="2"/>
    <x v="1"/>
    <n v="52"/>
    <n v="3"/>
    <x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  <x v="3"/>
    <x v="1"/>
    <s v="3-5 yrs"/>
    <x v="0"/>
    <s v="Satisfied"/>
    <n v="33288"/>
  </r>
  <r>
    <n v="34"/>
    <x v="1"/>
    <s v="Travel_Rarely"/>
    <n v="1031"/>
    <x v="1"/>
    <n v="6"/>
    <n v="4"/>
    <s v="Life Sciences"/>
    <n v="151"/>
    <n v="3"/>
    <x v="0"/>
    <n v="45"/>
    <n v="2"/>
    <x v="0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x v="2"/>
    <x v="0"/>
    <s v="0-2 yrs"/>
    <x v="0"/>
    <s v="Dissatisfied"/>
    <n v="54060"/>
  </r>
  <r>
    <n v="37"/>
    <x v="1"/>
    <s v="Travel_Rarely"/>
    <n v="1189"/>
    <x v="0"/>
    <n v="3"/>
    <n v="3"/>
    <s v="Life Sciences"/>
    <n v="152"/>
    <n v="3"/>
    <x v="1"/>
    <n v="87"/>
    <n v="3"/>
    <x v="2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  <x v="0"/>
    <x v="2"/>
    <s v="3-5 yrs"/>
    <x v="0"/>
    <s v="Very Satisfied"/>
    <n v="89136"/>
  </r>
  <r>
    <n v="34"/>
    <x v="1"/>
    <s v="Travel_Rarely"/>
    <n v="1354"/>
    <x v="1"/>
    <n v="5"/>
    <n v="3"/>
    <s v="Medical"/>
    <n v="153"/>
    <n v="3"/>
    <x v="0"/>
    <n v="45"/>
    <n v="2"/>
    <x v="2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x v="2"/>
    <x v="3"/>
    <s v="10+ yrs"/>
    <x v="0"/>
    <s v="Very Dissatisfied"/>
    <n v="139572"/>
  </r>
  <r>
    <n v="36"/>
    <x v="1"/>
    <s v="Travel_Frequently"/>
    <n v="1467"/>
    <x v="0"/>
    <n v="11"/>
    <n v="2"/>
    <s v="Technical Degree"/>
    <n v="154"/>
    <n v="2"/>
    <x v="0"/>
    <n v="92"/>
    <n v="3"/>
    <x v="2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  <x v="0"/>
    <x v="2"/>
    <s v="6-10 yrs"/>
    <x v="0"/>
    <s v="Very Satisfied"/>
    <n v="116856"/>
  </r>
  <r>
    <n v="36"/>
    <x v="1"/>
    <s v="Travel_Rarely"/>
    <n v="922"/>
    <x v="1"/>
    <n v="3"/>
    <n v="2"/>
    <s v="Life Sciences"/>
    <n v="155"/>
    <n v="1"/>
    <x v="0"/>
    <n v="39"/>
    <n v="3"/>
    <x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  <x v="0"/>
    <x v="1"/>
    <s v="0-2 yrs"/>
    <x v="1"/>
    <s v="Very Satisfied"/>
    <n v="34020"/>
  </r>
  <r>
    <n v="43"/>
    <x v="1"/>
    <s v="Travel_Frequently"/>
    <n v="394"/>
    <x v="0"/>
    <n v="26"/>
    <n v="2"/>
    <s v="Life Sciences"/>
    <n v="158"/>
    <n v="3"/>
    <x v="1"/>
    <n v="92"/>
    <n v="3"/>
    <x v="3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x v="0"/>
    <x v="3"/>
    <s v="10+ yrs"/>
    <x v="0"/>
    <s v="Very Satisfied"/>
    <n v="203508"/>
  </r>
  <r>
    <n v="30"/>
    <x v="1"/>
    <s v="Travel_Frequently"/>
    <n v="1312"/>
    <x v="1"/>
    <n v="23"/>
    <n v="3"/>
    <s v="Life Sciences"/>
    <n v="159"/>
    <n v="1"/>
    <x v="1"/>
    <n v="96"/>
    <n v="1"/>
    <x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x v="2"/>
    <x v="1"/>
    <s v="6-10 yrs"/>
    <x v="1"/>
    <s v="Satisfied"/>
    <n v="31356"/>
  </r>
  <r>
    <n v="33"/>
    <x v="1"/>
    <s v="Non-Travel"/>
    <n v="750"/>
    <x v="0"/>
    <n v="22"/>
    <n v="2"/>
    <s v="Marketing"/>
    <n v="160"/>
    <n v="3"/>
    <x v="1"/>
    <n v="95"/>
    <n v="3"/>
    <x v="0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  <x v="2"/>
    <x v="2"/>
    <s v="6-10 yrs"/>
    <x v="0"/>
    <s v="Dissatisfied"/>
    <n v="73752"/>
  </r>
  <r>
    <n v="56"/>
    <x v="0"/>
    <s v="Travel_Rarely"/>
    <n v="441"/>
    <x v="1"/>
    <n v="14"/>
    <n v="4"/>
    <s v="Life Sciences"/>
    <n v="161"/>
    <n v="2"/>
    <x v="0"/>
    <n v="72"/>
    <n v="3"/>
    <x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  <x v="1"/>
    <x v="0"/>
    <s v="3-5 yrs"/>
    <x v="0"/>
    <s v="Dissatisfied"/>
    <n v="59556"/>
  </r>
  <r>
    <n v="51"/>
    <x v="1"/>
    <s v="Travel_Rarely"/>
    <n v="684"/>
    <x v="1"/>
    <n v="6"/>
    <n v="3"/>
    <s v="Life Sciences"/>
    <n v="162"/>
    <n v="1"/>
    <x v="1"/>
    <n v="51"/>
    <n v="3"/>
    <x v="4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x v="1"/>
    <x v="3"/>
    <s v="10+ yrs"/>
    <x v="0"/>
    <s v="Satisfied"/>
    <n v="234444"/>
  </r>
  <r>
    <n v="31"/>
    <x v="0"/>
    <s v="Travel_Rarely"/>
    <n v="249"/>
    <x v="0"/>
    <n v="6"/>
    <n v="4"/>
    <s v="Life Sciences"/>
    <n v="163"/>
    <n v="2"/>
    <x v="1"/>
    <n v="76"/>
    <n v="1"/>
    <x v="0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  <x v="2"/>
    <x v="2"/>
    <s v="6-10 yrs"/>
    <x v="0"/>
    <s v="Satisfied"/>
    <n v="74064"/>
  </r>
  <r>
    <n v="26"/>
    <x v="1"/>
    <s v="Travel_Rarely"/>
    <n v="841"/>
    <x v="1"/>
    <n v="6"/>
    <n v="3"/>
    <s v="Other"/>
    <n v="164"/>
    <n v="3"/>
    <x v="0"/>
    <n v="46"/>
    <n v="2"/>
    <x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  <x v="2"/>
    <x v="1"/>
    <s v="3-5 yrs"/>
    <x v="0"/>
    <s v="Dissatisfied"/>
    <n v="28416"/>
  </r>
  <r>
    <n v="58"/>
    <x v="0"/>
    <s v="Travel_Rarely"/>
    <n v="147"/>
    <x v="1"/>
    <n v="23"/>
    <n v="4"/>
    <s v="Medical"/>
    <n v="165"/>
    <n v="4"/>
    <x v="0"/>
    <n v="94"/>
    <n v="3"/>
    <x v="2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x v="1"/>
    <x v="3"/>
    <s v="10+ yrs"/>
    <x v="0"/>
    <s v="Very Satisfied"/>
    <n v="123744"/>
  </r>
  <r>
    <n v="19"/>
    <x v="0"/>
    <s v="Travel_Rarely"/>
    <n v="528"/>
    <x v="0"/>
    <n v="22"/>
    <n v="1"/>
    <s v="Marketing"/>
    <n v="167"/>
    <n v="4"/>
    <x v="1"/>
    <n v="50"/>
    <n v="3"/>
    <x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  <x v="3"/>
    <x v="1"/>
    <s v="0-2 yrs"/>
    <x v="0"/>
    <s v="Satisfied"/>
    <n v="20100"/>
  </r>
  <r>
    <n v="22"/>
    <x v="1"/>
    <s v="Travel_Rarely"/>
    <n v="594"/>
    <x v="1"/>
    <n v="2"/>
    <n v="1"/>
    <s v="Technical Degree"/>
    <n v="169"/>
    <n v="3"/>
    <x v="1"/>
    <n v="100"/>
    <n v="3"/>
    <x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  <x v="3"/>
    <x v="1"/>
    <s v="0-2 yrs"/>
    <x v="0"/>
    <s v="Very Satisfied"/>
    <n v="30276"/>
  </r>
  <r>
    <n v="49"/>
    <x v="1"/>
    <s v="Travel_Rarely"/>
    <n v="470"/>
    <x v="1"/>
    <n v="20"/>
    <n v="4"/>
    <s v="Medical"/>
    <n v="170"/>
    <n v="3"/>
    <x v="0"/>
    <n v="96"/>
    <n v="3"/>
    <x v="0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x v="1"/>
    <x v="2"/>
    <s v="10+ yrs"/>
    <x v="0"/>
    <s v="Very Dissatisfied"/>
    <n v="78804"/>
  </r>
  <r>
    <n v="43"/>
    <x v="1"/>
    <s v="Travel_Frequently"/>
    <n v="957"/>
    <x v="1"/>
    <n v="28"/>
    <n v="3"/>
    <s v="Medical"/>
    <n v="171"/>
    <n v="2"/>
    <x v="0"/>
    <n v="72"/>
    <n v="4"/>
    <x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  <x v="0"/>
    <x v="0"/>
    <s v="3-5 yrs"/>
    <x v="0"/>
    <s v="Satisfied"/>
    <n v="56868"/>
  </r>
  <r>
    <n v="50"/>
    <x v="1"/>
    <s v="Travel_Frequently"/>
    <n v="809"/>
    <x v="0"/>
    <n v="12"/>
    <n v="3"/>
    <s v="Marketing"/>
    <n v="174"/>
    <n v="3"/>
    <x v="0"/>
    <n v="77"/>
    <n v="3"/>
    <x v="2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  <x v="1"/>
    <x v="2"/>
    <s v="0-2 yrs"/>
    <x v="0"/>
    <s v="Very Satisfied"/>
    <n v="110496"/>
  </r>
  <r>
    <n v="31"/>
    <x v="0"/>
    <s v="Travel_Rarely"/>
    <n v="542"/>
    <x v="0"/>
    <n v="20"/>
    <n v="3"/>
    <s v="Life Sciences"/>
    <n v="175"/>
    <n v="2"/>
    <x v="0"/>
    <n v="71"/>
    <n v="1"/>
    <x v="0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  <x v="2"/>
    <x v="0"/>
    <s v="0-2 yrs"/>
    <x v="0"/>
    <s v="Satisfied"/>
    <n v="54708"/>
  </r>
  <r>
    <n v="41"/>
    <x v="1"/>
    <s v="Travel_Rarely"/>
    <n v="802"/>
    <x v="0"/>
    <n v="9"/>
    <n v="1"/>
    <s v="Life Sciences"/>
    <n v="176"/>
    <n v="3"/>
    <x v="1"/>
    <n v="96"/>
    <n v="3"/>
    <x v="2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x v="0"/>
    <x v="2"/>
    <s v="6-10 yrs"/>
    <x v="0"/>
    <s v="Satisfied"/>
    <n v="98268"/>
  </r>
  <r>
    <n v="26"/>
    <x v="1"/>
    <s v="Travel_Rarely"/>
    <n v="1355"/>
    <x v="2"/>
    <n v="25"/>
    <n v="1"/>
    <s v="Life Sciences"/>
    <n v="177"/>
    <n v="3"/>
    <x v="0"/>
    <n v="61"/>
    <n v="3"/>
    <x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  <x v="2"/>
    <x v="1"/>
    <s v="6-10 yrs"/>
    <x v="1"/>
    <s v="Satisfied"/>
    <n v="35304"/>
  </r>
  <r>
    <n v="36"/>
    <x v="1"/>
    <s v="Travel_Rarely"/>
    <n v="216"/>
    <x v="1"/>
    <n v="6"/>
    <n v="2"/>
    <s v="Medical"/>
    <n v="178"/>
    <n v="2"/>
    <x v="1"/>
    <n v="84"/>
    <n v="3"/>
    <x v="0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  <x v="0"/>
    <x v="0"/>
    <s v="3-5 yrs"/>
    <x v="1"/>
    <s v="Dissatisfied"/>
    <n v="59292"/>
  </r>
  <r>
    <n v="51"/>
    <x v="0"/>
    <s v="Travel_Frequently"/>
    <n v="1150"/>
    <x v="1"/>
    <n v="8"/>
    <n v="4"/>
    <s v="Life Sciences"/>
    <n v="179"/>
    <n v="1"/>
    <x v="1"/>
    <n v="53"/>
    <n v="1"/>
    <x v="2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  <x v="1"/>
    <x v="3"/>
    <s v="3-5 yrs"/>
    <x v="0"/>
    <s v="Very Satisfied"/>
    <n v="127800"/>
  </r>
  <r>
    <n v="39"/>
    <x v="1"/>
    <s v="Travel_Rarely"/>
    <n v="1329"/>
    <x v="0"/>
    <n v="4"/>
    <n v="4"/>
    <s v="Life Sciences"/>
    <n v="182"/>
    <n v="4"/>
    <x v="0"/>
    <n v="47"/>
    <n v="2"/>
    <x v="0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x v="0"/>
    <x v="0"/>
    <s v="10+ yrs"/>
    <x v="0"/>
    <s v="Satisfied"/>
    <n v="70824"/>
  </r>
  <r>
    <n v="25"/>
    <x v="1"/>
    <s v="Travel_Rarely"/>
    <n v="959"/>
    <x v="0"/>
    <n v="28"/>
    <n v="3"/>
    <s v="Life Sciences"/>
    <n v="183"/>
    <n v="1"/>
    <x v="1"/>
    <n v="41"/>
    <n v="2"/>
    <x v="0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  <x v="3"/>
    <x v="2"/>
    <s v="0-2 yrs"/>
    <x v="0"/>
    <s v="Satisfied"/>
    <n v="103668"/>
  </r>
  <r>
    <n v="30"/>
    <x v="1"/>
    <s v="Travel_Rarely"/>
    <n v="1240"/>
    <x v="2"/>
    <n v="9"/>
    <n v="3"/>
    <s v="Human Resources"/>
    <n v="184"/>
    <n v="3"/>
    <x v="1"/>
    <n v="48"/>
    <n v="3"/>
    <x v="0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x v="2"/>
    <x v="2"/>
    <s v="10+ yrs"/>
    <x v="0"/>
    <s v="Very Satisfied"/>
    <n v="76164"/>
  </r>
  <r>
    <n v="32"/>
    <x v="0"/>
    <s v="Travel_Rarely"/>
    <n v="1033"/>
    <x v="1"/>
    <n v="9"/>
    <n v="3"/>
    <s v="Medical"/>
    <n v="190"/>
    <n v="1"/>
    <x v="0"/>
    <n v="41"/>
    <n v="3"/>
    <x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  <x v="2"/>
    <x v="0"/>
    <s v="3-5 yrs"/>
    <x v="1"/>
    <s v="Very Dissatisfied"/>
    <n v="50400"/>
  </r>
  <r>
    <n v="45"/>
    <x v="1"/>
    <s v="Travel_Rarely"/>
    <n v="1316"/>
    <x v="1"/>
    <n v="29"/>
    <n v="3"/>
    <s v="Medical"/>
    <n v="192"/>
    <n v="3"/>
    <x v="1"/>
    <n v="83"/>
    <n v="3"/>
    <x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  <x v="0"/>
    <x v="0"/>
    <s v="6-10 yrs"/>
    <x v="0"/>
    <s v="Very Satisfied"/>
    <n v="41424"/>
  </r>
  <r>
    <n v="38"/>
    <x v="1"/>
    <s v="Travel_Rarely"/>
    <n v="364"/>
    <x v="1"/>
    <n v="3"/>
    <n v="5"/>
    <s v="Technical Degree"/>
    <n v="193"/>
    <n v="4"/>
    <x v="0"/>
    <n v="32"/>
    <n v="3"/>
    <x v="0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  <x v="0"/>
    <x v="0"/>
    <s v="3-5 yrs"/>
    <x v="1"/>
    <s v="Satisfied"/>
    <n v="51804"/>
  </r>
  <r>
    <n v="30"/>
    <x v="1"/>
    <s v="Travel_Rarely"/>
    <n v="438"/>
    <x v="1"/>
    <n v="18"/>
    <n v="3"/>
    <s v="Life Sciences"/>
    <n v="194"/>
    <n v="1"/>
    <x v="0"/>
    <n v="75"/>
    <n v="3"/>
    <x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  <x v="2"/>
    <x v="1"/>
    <s v="3-5 yrs"/>
    <x v="0"/>
    <s v="Satisfied"/>
    <n v="31584"/>
  </r>
  <r>
    <n v="32"/>
    <x v="1"/>
    <s v="Travel_Frequently"/>
    <n v="689"/>
    <x v="0"/>
    <n v="9"/>
    <n v="2"/>
    <s v="Medical"/>
    <n v="195"/>
    <n v="4"/>
    <x v="1"/>
    <n v="35"/>
    <n v="1"/>
    <x v="0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  <x v="2"/>
    <x v="0"/>
    <s v="6-10 yrs"/>
    <x v="0"/>
    <s v="Very Satisfied"/>
    <n v="56016"/>
  </r>
  <r>
    <n v="30"/>
    <x v="1"/>
    <s v="Travel_Rarely"/>
    <n v="201"/>
    <x v="1"/>
    <n v="5"/>
    <n v="3"/>
    <s v="Technical Degree"/>
    <n v="197"/>
    <n v="4"/>
    <x v="0"/>
    <n v="84"/>
    <n v="3"/>
    <x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  <x v="2"/>
    <x v="0"/>
    <s v="3-5 yrs"/>
    <x v="0"/>
    <s v="Very Dissatisfied"/>
    <n v="38448"/>
  </r>
  <r>
    <n v="30"/>
    <x v="1"/>
    <s v="Travel_Rarely"/>
    <n v="1427"/>
    <x v="1"/>
    <n v="2"/>
    <n v="1"/>
    <s v="Medical"/>
    <n v="198"/>
    <n v="2"/>
    <x v="1"/>
    <n v="35"/>
    <n v="2"/>
    <x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  <x v="2"/>
    <x v="1"/>
    <s v="3-5 yrs"/>
    <x v="0"/>
    <s v="Very Satisfied"/>
    <n v="32640"/>
  </r>
  <r>
    <n v="41"/>
    <x v="1"/>
    <s v="Travel_Frequently"/>
    <n v="857"/>
    <x v="1"/>
    <n v="10"/>
    <n v="3"/>
    <s v="Life Sciences"/>
    <n v="199"/>
    <n v="4"/>
    <x v="1"/>
    <n v="91"/>
    <n v="2"/>
    <x v="3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x v="0"/>
    <x v="3"/>
    <s v="6-10 yrs"/>
    <x v="0"/>
    <s v="Very Dissatisfied"/>
    <n v="206172"/>
  </r>
  <r>
    <n v="41"/>
    <x v="1"/>
    <s v="Travel_Rarely"/>
    <n v="933"/>
    <x v="1"/>
    <n v="9"/>
    <n v="4"/>
    <s v="Life Sciences"/>
    <n v="200"/>
    <n v="3"/>
    <x v="1"/>
    <n v="94"/>
    <n v="3"/>
    <x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  <x v="0"/>
    <x v="1"/>
    <s v="3-5 yrs"/>
    <x v="1"/>
    <s v="Very Dissatisfied"/>
    <n v="26856"/>
  </r>
  <r>
    <n v="19"/>
    <x v="1"/>
    <s v="Travel_Rarely"/>
    <n v="1181"/>
    <x v="1"/>
    <n v="3"/>
    <n v="1"/>
    <s v="Medical"/>
    <n v="201"/>
    <n v="2"/>
    <x v="0"/>
    <n v="79"/>
    <n v="3"/>
    <x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  <x v="3"/>
    <x v="1"/>
    <s v="0-2 yrs"/>
    <x v="0"/>
    <s v="Dissatisfied"/>
    <n v="17796"/>
  </r>
  <r>
    <n v="40"/>
    <x v="1"/>
    <s v="Travel_Frequently"/>
    <n v="1395"/>
    <x v="1"/>
    <n v="26"/>
    <n v="3"/>
    <s v="Medical"/>
    <n v="202"/>
    <n v="2"/>
    <x v="0"/>
    <n v="54"/>
    <n v="3"/>
    <x v="0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x v="0"/>
    <x v="0"/>
    <s v="10+ yrs"/>
    <x v="0"/>
    <s v="Dissatisfied"/>
    <n v="67260"/>
  </r>
  <r>
    <n v="35"/>
    <x v="1"/>
    <s v="Travel_Rarely"/>
    <n v="662"/>
    <x v="0"/>
    <n v="1"/>
    <n v="5"/>
    <s v="Marketing"/>
    <n v="204"/>
    <n v="3"/>
    <x v="1"/>
    <n v="94"/>
    <n v="3"/>
    <x v="2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x v="2"/>
    <x v="2"/>
    <s v="6-10 yrs"/>
    <x v="0"/>
    <s v="Dissatisfied"/>
    <n v="87540"/>
  </r>
  <r>
    <n v="53"/>
    <x v="1"/>
    <s v="Travel_Rarely"/>
    <n v="1436"/>
    <x v="0"/>
    <n v="6"/>
    <n v="2"/>
    <s v="Marketing"/>
    <n v="205"/>
    <n v="2"/>
    <x v="1"/>
    <n v="34"/>
    <n v="3"/>
    <x v="0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  <x v="1"/>
    <x v="1"/>
    <s v="6-10 yrs"/>
    <x v="1"/>
    <s v="Satisfied"/>
    <n v="27672"/>
  </r>
  <r>
    <n v="45"/>
    <x v="1"/>
    <s v="Travel_Rarely"/>
    <n v="194"/>
    <x v="1"/>
    <n v="9"/>
    <n v="3"/>
    <s v="Life Sciences"/>
    <n v="206"/>
    <n v="2"/>
    <x v="1"/>
    <n v="60"/>
    <n v="3"/>
    <x v="0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x v="0"/>
    <x v="1"/>
    <s v="10+ yrs"/>
    <x v="0"/>
    <s v="Dissatisfied"/>
    <n v="28176"/>
  </r>
  <r>
    <n v="32"/>
    <x v="1"/>
    <s v="Travel_Frequently"/>
    <n v="967"/>
    <x v="0"/>
    <n v="8"/>
    <n v="3"/>
    <s v="Marketing"/>
    <n v="207"/>
    <n v="2"/>
    <x v="0"/>
    <n v="43"/>
    <n v="3"/>
    <x v="2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  <x v="2"/>
    <x v="2"/>
    <s v="6-10 yrs"/>
    <x v="0"/>
    <s v="Very Satisfied"/>
    <n v="107976"/>
  </r>
  <r>
    <n v="29"/>
    <x v="1"/>
    <s v="Non-Travel"/>
    <n v="1496"/>
    <x v="1"/>
    <n v="1"/>
    <n v="1"/>
    <s v="Technical Degree"/>
    <n v="208"/>
    <n v="4"/>
    <x v="1"/>
    <n v="41"/>
    <n v="3"/>
    <x v="0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x v="2"/>
    <x v="0"/>
    <s v="6-10 yrs"/>
    <x v="0"/>
    <s v="Satisfied"/>
    <n v="51828"/>
  </r>
  <r>
    <n v="51"/>
    <x v="1"/>
    <s v="Travel_Rarely"/>
    <n v="1169"/>
    <x v="1"/>
    <n v="7"/>
    <n v="4"/>
    <s v="Medical"/>
    <n v="211"/>
    <n v="2"/>
    <x v="1"/>
    <n v="34"/>
    <n v="2"/>
    <x v="0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  <x v="1"/>
    <x v="2"/>
    <s v="0-2 yrs"/>
    <x v="0"/>
    <s v="Satisfied"/>
    <n v="73584"/>
  </r>
  <r>
    <n v="58"/>
    <x v="1"/>
    <s v="Travel_Rarely"/>
    <n v="1145"/>
    <x v="1"/>
    <n v="9"/>
    <n v="3"/>
    <s v="Medical"/>
    <n v="214"/>
    <n v="2"/>
    <x v="0"/>
    <n v="75"/>
    <n v="2"/>
    <x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  <x v="1"/>
    <x v="0"/>
    <s v="0-2 yrs"/>
    <x v="1"/>
    <s v="Dissatisfied"/>
    <n v="40152"/>
  </r>
  <r>
    <n v="40"/>
    <x v="1"/>
    <s v="Travel_Rarely"/>
    <n v="630"/>
    <x v="0"/>
    <n v="4"/>
    <n v="4"/>
    <s v="Marketing"/>
    <n v="215"/>
    <n v="3"/>
    <x v="1"/>
    <n v="67"/>
    <n v="2"/>
    <x v="2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x v="0"/>
    <x v="3"/>
    <s v="10+ yrs"/>
    <x v="0"/>
    <s v="Very Satisfied"/>
    <n v="130260"/>
  </r>
  <r>
    <n v="34"/>
    <x v="1"/>
    <s v="Travel_Frequently"/>
    <n v="303"/>
    <x v="0"/>
    <n v="2"/>
    <n v="4"/>
    <s v="Marketing"/>
    <n v="216"/>
    <n v="3"/>
    <x v="0"/>
    <n v="75"/>
    <n v="3"/>
    <x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  <x v="2"/>
    <x v="1"/>
    <s v="3-5 yrs"/>
    <x v="0"/>
    <s v="Satisfied"/>
    <n v="26772"/>
  </r>
  <r>
    <n v="22"/>
    <x v="1"/>
    <s v="Travel_Rarely"/>
    <n v="1256"/>
    <x v="1"/>
    <n v="19"/>
    <n v="1"/>
    <s v="Medical"/>
    <n v="217"/>
    <n v="3"/>
    <x v="1"/>
    <n v="80"/>
    <n v="3"/>
    <x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  <x v="3"/>
    <x v="1"/>
    <s v="0-2 yrs"/>
    <x v="1"/>
    <s v="Very Satisfied"/>
    <n v="27876"/>
  </r>
  <r>
    <n v="27"/>
    <x v="1"/>
    <s v="Non-Travel"/>
    <n v="691"/>
    <x v="1"/>
    <n v="9"/>
    <n v="3"/>
    <s v="Medical"/>
    <n v="218"/>
    <n v="4"/>
    <x v="1"/>
    <n v="57"/>
    <n v="3"/>
    <x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  <x v="2"/>
    <x v="1"/>
    <s v="0-2 yrs"/>
    <x v="0"/>
    <s v="Dissatisfied"/>
    <n v="24288"/>
  </r>
  <r>
    <n v="28"/>
    <x v="1"/>
    <s v="Travel_Rarely"/>
    <n v="440"/>
    <x v="1"/>
    <n v="21"/>
    <n v="3"/>
    <s v="Medical"/>
    <n v="221"/>
    <n v="3"/>
    <x v="1"/>
    <n v="42"/>
    <n v="3"/>
    <x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  <x v="2"/>
    <x v="1"/>
    <s v="3-5 yrs"/>
    <x v="0"/>
    <s v="Very Satisfied"/>
    <n v="32556"/>
  </r>
  <r>
    <n v="57"/>
    <x v="1"/>
    <s v="Travel_Rarely"/>
    <n v="334"/>
    <x v="1"/>
    <n v="24"/>
    <n v="2"/>
    <s v="Life Sciences"/>
    <n v="223"/>
    <n v="3"/>
    <x v="1"/>
    <n v="83"/>
    <n v="4"/>
    <x v="2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x v="1"/>
    <x v="2"/>
    <s v="3-5 yrs"/>
    <x v="0"/>
    <s v="Very Satisfied"/>
    <n v="113268"/>
  </r>
  <r>
    <n v="27"/>
    <x v="1"/>
    <s v="Non-Travel"/>
    <n v="1450"/>
    <x v="1"/>
    <n v="3"/>
    <n v="3"/>
    <s v="Medical"/>
    <n v="224"/>
    <n v="3"/>
    <x v="1"/>
    <n v="79"/>
    <n v="2"/>
    <x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  <x v="2"/>
    <x v="1"/>
    <s v="0-2 yrs"/>
    <x v="0"/>
    <s v="Satisfied"/>
    <n v="30792"/>
  </r>
  <r>
    <n v="50"/>
    <x v="1"/>
    <s v="Travel_Rarely"/>
    <n v="1452"/>
    <x v="1"/>
    <n v="11"/>
    <n v="3"/>
    <s v="Life Sciences"/>
    <n v="226"/>
    <n v="3"/>
    <x v="0"/>
    <n v="53"/>
    <n v="3"/>
    <x v="4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  <x v="1"/>
    <x v="3"/>
    <s v="3-5 yrs"/>
    <x v="0"/>
    <s v="Dissatisfied"/>
    <n v="239112"/>
  </r>
  <r>
    <n v="41"/>
    <x v="1"/>
    <s v="Travel_Rarely"/>
    <n v="465"/>
    <x v="1"/>
    <n v="14"/>
    <n v="3"/>
    <s v="Life Sciences"/>
    <n v="227"/>
    <n v="1"/>
    <x v="1"/>
    <n v="56"/>
    <n v="3"/>
    <x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  <x v="0"/>
    <x v="1"/>
    <s v="6-10 yrs"/>
    <x v="0"/>
    <s v="Satisfied"/>
    <n v="29412"/>
  </r>
  <r>
    <n v="30"/>
    <x v="1"/>
    <s v="Travel_Rarely"/>
    <n v="1339"/>
    <x v="0"/>
    <n v="5"/>
    <n v="3"/>
    <s v="Life Sciences"/>
    <n v="228"/>
    <n v="2"/>
    <x v="0"/>
    <n v="41"/>
    <n v="3"/>
    <x v="2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  <x v="2"/>
    <x v="2"/>
    <s v="6-10 yrs"/>
    <x v="0"/>
    <s v="Very Satisfied"/>
    <n v="113028"/>
  </r>
  <r>
    <n v="38"/>
    <x v="1"/>
    <s v="Travel_Rarely"/>
    <n v="702"/>
    <x v="0"/>
    <n v="1"/>
    <n v="4"/>
    <s v="Life Sciences"/>
    <n v="230"/>
    <n v="1"/>
    <x v="0"/>
    <n v="59"/>
    <n v="2"/>
    <x v="0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  <x v="0"/>
    <x v="2"/>
    <s v="6-10 yrs"/>
    <x v="1"/>
    <s v="Very Satisfied"/>
    <n v="104232"/>
  </r>
  <r>
    <n v="32"/>
    <x v="1"/>
    <s v="Travel_Rarely"/>
    <n v="120"/>
    <x v="1"/>
    <n v="6"/>
    <n v="5"/>
    <s v="Life Sciences"/>
    <n v="231"/>
    <n v="3"/>
    <x v="1"/>
    <n v="43"/>
    <n v="3"/>
    <x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  <x v="2"/>
    <x v="0"/>
    <s v="3-5 yrs"/>
    <x v="1"/>
    <s v="Satisfied"/>
    <n v="36456"/>
  </r>
  <r>
    <n v="27"/>
    <x v="1"/>
    <s v="Travel_Rarely"/>
    <n v="1157"/>
    <x v="1"/>
    <n v="17"/>
    <n v="3"/>
    <s v="Technical Degree"/>
    <n v="233"/>
    <n v="3"/>
    <x v="1"/>
    <n v="51"/>
    <n v="3"/>
    <x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  <x v="2"/>
    <x v="0"/>
    <s v="3-5 yrs"/>
    <x v="0"/>
    <s v="Dissatisfied"/>
    <n v="36696"/>
  </r>
  <r>
    <n v="19"/>
    <x v="0"/>
    <s v="Travel_Frequently"/>
    <n v="602"/>
    <x v="0"/>
    <n v="1"/>
    <n v="1"/>
    <s v="Technical Degree"/>
    <n v="235"/>
    <n v="3"/>
    <x v="0"/>
    <n v="100"/>
    <n v="1"/>
    <x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  <x v="3"/>
    <x v="1"/>
    <s v="0-2 yrs"/>
    <x v="1"/>
    <s v="Very Dissatisfied"/>
    <n v="27900"/>
  </r>
  <r>
    <n v="36"/>
    <x v="1"/>
    <s v="Travel_Frequently"/>
    <n v="1480"/>
    <x v="1"/>
    <n v="3"/>
    <n v="2"/>
    <s v="Medical"/>
    <n v="238"/>
    <n v="4"/>
    <x v="1"/>
    <n v="30"/>
    <n v="3"/>
    <x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  <x v="0"/>
    <x v="1"/>
    <s v="6-10 yrs"/>
    <x v="0"/>
    <s v="Dissatisfied"/>
    <n v="25056"/>
  </r>
  <r>
    <n v="30"/>
    <x v="1"/>
    <s v="Non-Travel"/>
    <n v="111"/>
    <x v="1"/>
    <n v="9"/>
    <n v="3"/>
    <s v="Medical"/>
    <n v="239"/>
    <n v="3"/>
    <x v="1"/>
    <n v="66"/>
    <n v="3"/>
    <x v="0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x v="2"/>
    <x v="0"/>
    <s v="10+ yrs"/>
    <x v="0"/>
    <s v="Very Dissatisfied"/>
    <n v="36864"/>
  </r>
  <r>
    <n v="45"/>
    <x v="1"/>
    <s v="Travel_Rarely"/>
    <n v="1268"/>
    <x v="0"/>
    <n v="4"/>
    <n v="2"/>
    <s v="Life Sciences"/>
    <n v="240"/>
    <n v="3"/>
    <x v="0"/>
    <n v="30"/>
    <n v="3"/>
    <x v="0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  <x v="0"/>
    <x v="0"/>
    <s v="3-5 yrs"/>
    <x v="0"/>
    <s v="Very Dissatisfied"/>
    <n v="60072"/>
  </r>
  <r>
    <n v="56"/>
    <x v="1"/>
    <s v="Travel_Rarely"/>
    <n v="713"/>
    <x v="1"/>
    <n v="8"/>
    <n v="3"/>
    <s v="Life Sciences"/>
    <n v="241"/>
    <n v="3"/>
    <x v="0"/>
    <n v="67"/>
    <n v="3"/>
    <x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x v="1"/>
    <x v="0"/>
    <s v="0-2 yrs"/>
    <x v="0"/>
    <s v="Very Dissatisfied"/>
    <n v="51084"/>
  </r>
  <r>
    <n v="33"/>
    <x v="1"/>
    <s v="Travel_Rarely"/>
    <n v="134"/>
    <x v="1"/>
    <n v="2"/>
    <n v="3"/>
    <s v="Life Sciences"/>
    <n v="242"/>
    <n v="3"/>
    <x v="1"/>
    <n v="90"/>
    <n v="3"/>
    <x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  <x v="2"/>
    <x v="1"/>
    <s v="3-5 yrs"/>
    <x v="0"/>
    <s v="Very Satisfied"/>
    <n v="30000"/>
  </r>
  <r>
    <n v="19"/>
    <x v="0"/>
    <s v="Travel_Rarely"/>
    <n v="303"/>
    <x v="1"/>
    <n v="2"/>
    <n v="3"/>
    <s v="Life Sciences"/>
    <n v="243"/>
    <n v="2"/>
    <x v="1"/>
    <n v="47"/>
    <n v="2"/>
    <x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  <x v="3"/>
    <x v="1"/>
    <s v="0-2 yrs"/>
    <x v="1"/>
    <s v="Very Satisfied"/>
    <n v="13224"/>
  </r>
  <r>
    <n v="46"/>
    <x v="1"/>
    <s v="Travel_Rarely"/>
    <n v="526"/>
    <x v="0"/>
    <n v="1"/>
    <n v="2"/>
    <s v="Marketing"/>
    <n v="244"/>
    <n v="2"/>
    <x v="0"/>
    <n v="92"/>
    <n v="3"/>
    <x v="2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x v="1"/>
    <x v="3"/>
    <s v="10+ yrs"/>
    <x v="1"/>
    <s v="Very Dissatisfied"/>
    <n v="125436"/>
  </r>
  <r>
    <n v="38"/>
    <x v="1"/>
    <s v="Travel_Rarely"/>
    <n v="1380"/>
    <x v="1"/>
    <n v="9"/>
    <n v="2"/>
    <s v="Life Sciences"/>
    <n v="245"/>
    <n v="3"/>
    <x v="0"/>
    <n v="75"/>
    <n v="3"/>
    <x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  <x v="0"/>
    <x v="1"/>
    <s v="0-2 yrs"/>
    <x v="0"/>
    <s v="Very Satisfied"/>
    <n v="27456"/>
  </r>
  <r>
    <n v="31"/>
    <x v="1"/>
    <s v="Travel_Rarely"/>
    <n v="140"/>
    <x v="1"/>
    <n v="12"/>
    <n v="1"/>
    <s v="Medical"/>
    <n v="246"/>
    <n v="3"/>
    <x v="0"/>
    <n v="95"/>
    <n v="3"/>
    <x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  <x v="2"/>
    <x v="0"/>
    <s v="3-5 yrs"/>
    <x v="1"/>
    <s v="Very Satisfied"/>
    <n v="47148"/>
  </r>
  <r>
    <n v="34"/>
    <x v="1"/>
    <s v="Travel_Rarely"/>
    <n v="629"/>
    <x v="1"/>
    <n v="27"/>
    <n v="2"/>
    <s v="Medical"/>
    <n v="247"/>
    <n v="4"/>
    <x v="0"/>
    <n v="95"/>
    <n v="3"/>
    <x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  <x v="2"/>
    <x v="1"/>
    <s v="3-5 yrs"/>
    <x v="0"/>
    <s v="Dissatisfied"/>
    <n v="27732"/>
  </r>
  <r>
    <n v="41"/>
    <x v="0"/>
    <s v="Travel_Rarely"/>
    <n v="1356"/>
    <x v="0"/>
    <n v="20"/>
    <n v="2"/>
    <s v="Marketing"/>
    <n v="248"/>
    <n v="2"/>
    <x v="0"/>
    <n v="70"/>
    <n v="3"/>
    <x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  <x v="0"/>
    <x v="0"/>
    <s v="3-5 yrs"/>
    <x v="1"/>
    <s v="Dissatisfied"/>
    <n v="37680"/>
  </r>
  <r>
    <n v="50"/>
    <x v="1"/>
    <s v="Travel_Rarely"/>
    <n v="328"/>
    <x v="1"/>
    <n v="1"/>
    <n v="3"/>
    <s v="Medical"/>
    <n v="249"/>
    <n v="3"/>
    <x v="1"/>
    <n v="86"/>
    <n v="2"/>
    <x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  <x v="1"/>
    <x v="0"/>
    <s v="3-5 yrs"/>
    <x v="0"/>
    <s v="Satisfied"/>
    <n v="44280"/>
  </r>
  <r>
    <n v="53"/>
    <x v="1"/>
    <s v="Travel_Rarely"/>
    <n v="1084"/>
    <x v="1"/>
    <n v="13"/>
    <n v="2"/>
    <s v="Medical"/>
    <n v="250"/>
    <n v="4"/>
    <x v="0"/>
    <n v="57"/>
    <n v="4"/>
    <x v="0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  <x v="1"/>
    <x v="0"/>
    <s v="3-5 yrs"/>
    <x v="0"/>
    <s v="Very Dissatisfied"/>
    <n v="53400"/>
  </r>
  <r>
    <n v="33"/>
    <x v="1"/>
    <s v="Travel_Rarely"/>
    <n v="931"/>
    <x v="1"/>
    <n v="14"/>
    <n v="3"/>
    <s v="Medical"/>
    <n v="252"/>
    <n v="4"/>
    <x v="0"/>
    <n v="72"/>
    <n v="3"/>
    <x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  <x v="2"/>
    <x v="1"/>
    <s v="6-10 yrs"/>
    <x v="0"/>
    <s v="Dissatisfied"/>
    <n v="33072"/>
  </r>
  <r>
    <n v="40"/>
    <x v="1"/>
    <s v="Travel_Rarely"/>
    <n v="989"/>
    <x v="1"/>
    <n v="4"/>
    <n v="1"/>
    <s v="Medical"/>
    <n v="253"/>
    <n v="4"/>
    <x v="0"/>
    <n v="46"/>
    <n v="3"/>
    <x v="4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x v="0"/>
    <x v="3"/>
    <s v="10+ yrs"/>
    <x v="0"/>
    <s v="Satisfied"/>
    <n v="228396"/>
  </r>
  <r>
    <n v="55"/>
    <x v="1"/>
    <s v="Travel_Rarely"/>
    <n v="692"/>
    <x v="1"/>
    <n v="14"/>
    <n v="4"/>
    <s v="Medical"/>
    <n v="254"/>
    <n v="3"/>
    <x v="1"/>
    <n v="61"/>
    <n v="4"/>
    <x v="4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x v="1"/>
    <x v="3"/>
    <s v="10+ yrs"/>
    <x v="0"/>
    <s v="Dissatisfied"/>
    <n v="224664"/>
  </r>
  <r>
    <n v="34"/>
    <x v="1"/>
    <s v="Travel_Frequently"/>
    <n v="1069"/>
    <x v="1"/>
    <n v="2"/>
    <n v="1"/>
    <s v="Life Sciences"/>
    <n v="256"/>
    <n v="4"/>
    <x v="1"/>
    <n v="45"/>
    <n v="2"/>
    <x v="0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x v="2"/>
    <x v="2"/>
    <s v="6-10 yrs"/>
    <x v="0"/>
    <s v="Satisfied"/>
    <n v="114564"/>
  </r>
  <r>
    <n v="51"/>
    <x v="1"/>
    <s v="Travel_Rarely"/>
    <n v="313"/>
    <x v="1"/>
    <n v="3"/>
    <n v="3"/>
    <s v="Medical"/>
    <n v="258"/>
    <n v="4"/>
    <x v="0"/>
    <n v="98"/>
    <n v="3"/>
    <x v="3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  <x v="1"/>
    <x v="3"/>
    <s v="6-10 yrs"/>
    <x v="0"/>
    <s v="Dissatisfied"/>
    <n v="164808"/>
  </r>
  <r>
    <n v="52"/>
    <x v="1"/>
    <s v="Travel_Rarely"/>
    <n v="699"/>
    <x v="1"/>
    <n v="1"/>
    <n v="4"/>
    <s v="Life Sciences"/>
    <n v="259"/>
    <n v="3"/>
    <x v="1"/>
    <n v="65"/>
    <n v="2"/>
    <x v="4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x v="1"/>
    <x v="3"/>
    <s v="10+ yrs"/>
    <x v="0"/>
    <s v="Satisfied"/>
    <n v="239988"/>
  </r>
  <r>
    <n v="27"/>
    <x v="1"/>
    <s v="Travel_Rarely"/>
    <n v="894"/>
    <x v="1"/>
    <n v="9"/>
    <n v="3"/>
    <s v="Medical"/>
    <n v="260"/>
    <n v="4"/>
    <x v="0"/>
    <n v="99"/>
    <n v="3"/>
    <x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  <x v="2"/>
    <x v="1"/>
    <s v="6-10 yrs"/>
    <x v="0"/>
    <s v="Dissatisfied"/>
    <n v="27348"/>
  </r>
  <r>
    <n v="35"/>
    <x v="0"/>
    <s v="Travel_Rarely"/>
    <n v="556"/>
    <x v="1"/>
    <n v="23"/>
    <n v="2"/>
    <s v="Life Sciences"/>
    <n v="261"/>
    <n v="2"/>
    <x v="1"/>
    <n v="50"/>
    <n v="2"/>
    <x v="0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  <x v="2"/>
    <x v="0"/>
    <s v="0-2 yrs"/>
    <x v="0"/>
    <s v="Satisfied"/>
    <n v="70992"/>
  </r>
  <r>
    <n v="43"/>
    <x v="1"/>
    <s v="Non-Travel"/>
    <n v="1344"/>
    <x v="1"/>
    <n v="7"/>
    <n v="3"/>
    <s v="Medical"/>
    <n v="262"/>
    <n v="4"/>
    <x v="1"/>
    <n v="37"/>
    <n v="4"/>
    <x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  <x v="0"/>
    <x v="1"/>
    <s v="3-5 yrs"/>
    <x v="0"/>
    <s v="Very Satisfied"/>
    <n v="25068"/>
  </r>
  <r>
    <n v="45"/>
    <x v="1"/>
    <s v="Non-Travel"/>
    <n v="1195"/>
    <x v="1"/>
    <n v="2"/>
    <n v="2"/>
    <s v="Medical"/>
    <n v="264"/>
    <n v="1"/>
    <x v="1"/>
    <n v="65"/>
    <n v="2"/>
    <x v="3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x v="0"/>
    <x v="3"/>
    <s v="10+ yrs"/>
    <x v="1"/>
    <s v="Very Satisfied"/>
    <n v="201504"/>
  </r>
  <r>
    <n v="37"/>
    <x v="1"/>
    <s v="Travel_Rarely"/>
    <n v="290"/>
    <x v="1"/>
    <n v="21"/>
    <n v="3"/>
    <s v="Life Sciences"/>
    <n v="267"/>
    <n v="2"/>
    <x v="1"/>
    <n v="65"/>
    <n v="4"/>
    <x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  <x v="0"/>
    <x v="0"/>
    <s v="6-10 yrs"/>
    <x v="0"/>
    <s v="Very Dissatisfied"/>
    <n v="42768"/>
  </r>
  <r>
    <n v="35"/>
    <x v="1"/>
    <s v="Travel_Frequently"/>
    <n v="138"/>
    <x v="1"/>
    <n v="2"/>
    <n v="3"/>
    <s v="Medical"/>
    <n v="269"/>
    <n v="2"/>
    <x v="0"/>
    <n v="37"/>
    <n v="3"/>
    <x v="0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  <x v="2"/>
    <x v="0"/>
    <s v="6-10 yrs"/>
    <x v="0"/>
    <s v="Dissatisfied"/>
    <n v="53100"/>
  </r>
  <r>
    <n v="42"/>
    <x v="1"/>
    <s v="Non-Travel"/>
    <n v="926"/>
    <x v="1"/>
    <n v="21"/>
    <n v="2"/>
    <s v="Medical"/>
    <n v="270"/>
    <n v="3"/>
    <x v="0"/>
    <n v="36"/>
    <n v="3"/>
    <x v="0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x v="0"/>
    <x v="0"/>
    <s v="3-5 yrs"/>
    <x v="0"/>
    <s v="Satisfied"/>
    <n v="63180"/>
  </r>
  <r>
    <n v="38"/>
    <x v="1"/>
    <s v="Travel_Rarely"/>
    <n v="1261"/>
    <x v="1"/>
    <n v="2"/>
    <n v="4"/>
    <s v="Life Sciences"/>
    <n v="271"/>
    <n v="4"/>
    <x v="1"/>
    <n v="88"/>
    <n v="3"/>
    <x v="0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  <x v="0"/>
    <x v="2"/>
    <s v="0-2 yrs"/>
    <x v="0"/>
    <s v="Satisfied"/>
    <n v="78636"/>
  </r>
  <r>
    <n v="38"/>
    <x v="1"/>
    <s v="Travel_Rarely"/>
    <n v="1084"/>
    <x v="1"/>
    <n v="29"/>
    <n v="3"/>
    <s v="Technical Degree"/>
    <n v="273"/>
    <n v="4"/>
    <x v="1"/>
    <n v="54"/>
    <n v="3"/>
    <x v="0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  <x v="0"/>
    <x v="2"/>
    <s v="6-10 yrs"/>
    <x v="0"/>
    <s v="Very Satisfied"/>
    <n v="75132"/>
  </r>
  <r>
    <n v="27"/>
    <x v="1"/>
    <s v="Travel_Frequently"/>
    <n v="472"/>
    <x v="1"/>
    <n v="1"/>
    <n v="1"/>
    <s v="Technical Degree"/>
    <n v="274"/>
    <n v="3"/>
    <x v="1"/>
    <n v="60"/>
    <n v="2"/>
    <x v="0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  <x v="2"/>
    <x v="0"/>
    <s v="0-2 yrs"/>
    <x v="0"/>
    <s v="Very Dissatisfied"/>
    <n v="51576"/>
  </r>
  <r>
    <n v="49"/>
    <x v="1"/>
    <s v="Non-Travel"/>
    <n v="1002"/>
    <x v="1"/>
    <n v="18"/>
    <n v="4"/>
    <s v="Life Sciences"/>
    <n v="275"/>
    <n v="4"/>
    <x v="1"/>
    <n v="92"/>
    <n v="3"/>
    <x v="0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  <x v="1"/>
    <x v="2"/>
    <s v="6-10 yrs"/>
    <x v="0"/>
    <s v="Very Satisfied"/>
    <n v="81648"/>
  </r>
  <r>
    <n v="34"/>
    <x v="1"/>
    <s v="Travel_Frequently"/>
    <n v="878"/>
    <x v="1"/>
    <n v="10"/>
    <n v="4"/>
    <s v="Medical"/>
    <n v="277"/>
    <n v="4"/>
    <x v="1"/>
    <n v="43"/>
    <n v="3"/>
    <x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  <x v="2"/>
    <x v="0"/>
    <s v="3-5 yrs"/>
    <x v="0"/>
    <s v="Satisfied"/>
    <n v="45780"/>
  </r>
  <r>
    <n v="40"/>
    <x v="1"/>
    <s v="Travel_Rarely"/>
    <n v="905"/>
    <x v="1"/>
    <n v="19"/>
    <n v="2"/>
    <s v="Medical"/>
    <n v="281"/>
    <n v="3"/>
    <x v="1"/>
    <n v="99"/>
    <n v="3"/>
    <x v="0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  <x v="0"/>
    <x v="1"/>
    <s v="6-10 yrs"/>
    <x v="0"/>
    <s v="Very Satisfied"/>
    <n v="32892"/>
  </r>
  <r>
    <n v="38"/>
    <x v="0"/>
    <s v="Travel_Rarely"/>
    <n v="1180"/>
    <x v="1"/>
    <n v="29"/>
    <n v="1"/>
    <s v="Medical"/>
    <n v="282"/>
    <n v="2"/>
    <x v="1"/>
    <n v="70"/>
    <n v="3"/>
    <x v="0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  <x v="0"/>
    <x v="2"/>
    <s v="0-2 yrs"/>
    <x v="0"/>
    <s v="Very Dissatisfied"/>
    <n v="80076"/>
  </r>
  <r>
    <n v="29"/>
    <x v="0"/>
    <s v="Travel_Rarely"/>
    <n v="121"/>
    <x v="0"/>
    <n v="27"/>
    <n v="3"/>
    <s v="Marketing"/>
    <n v="283"/>
    <n v="2"/>
    <x v="0"/>
    <n v="35"/>
    <n v="3"/>
    <x v="2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x v="2"/>
    <x v="2"/>
    <s v="6-10 yrs"/>
    <x v="1"/>
    <s v="Very Satisfied"/>
    <n v="91668"/>
  </r>
  <r>
    <n v="22"/>
    <x v="1"/>
    <s v="Travel_Rarely"/>
    <n v="1136"/>
    <x v="1"/>
    <n v="5"/>
    <n v="3"/>
    <s v="Life Sciences"/>
    <n v="284"/>
    <n v="4"/>
    <x v="1"/>
    <n v="60"/>
    <n v="4"/>
    <x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  <x v="3"/>
    <x v="1"/>
    <s v="3-5 yrs"/>
    <x v="0"/>
    <s v="Dissatisfied"/>
    <n v="27936"/>
  </r>
  <r>
    <n v="36"/>
    <x v="1"/>
    <s v="Travel_Frequently"/>
    <n v="635"/>
    <x v="1"/>
    <n v="18"/>
    <n v="1"/>
    <s v="Medical"/>
    <n v="286"/>
    <n v="2"/>
    <x v="0"/>
    <n v="73"/>
    <n v="3"/>
    <x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  <x v="0"/>
    <x v="1"/>
    <s v="6-10 yrs"/>
    <x v="0"/>
    <s v="Very Satisfied"/>
    <n v="25836"/>
  </r>
  <r>
    <n v="40"/>
    <x v="1"/>
    <s v="Non-Travel"/>
    <n v="1151"/>
    <x v="1"/>
    <n v="9"/>
    <n v="5"/>
    <s v="Life Sciences"/>
    <n v="287"/>
    <n v="4"/>
    <x v="1"/>
    <n v="63"/>
    <n v="2"/>
    <x v="0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  <x v="0"/>
    <x v="0"/>
    <s v="3-5 yrs"/>
    <x v="0"/>
    <s v="Very Satisfied"/>
    <n v="58512"/>
  </r>
  <r>
    <n v="46"/>
    <x v="1"/>
    <s v="Travel_Rarely"/>
    <n v="644"/>
    <x v="1"/>
    <n v="1"/>
    <n v="4"/>
    <s v="Medical"/>
    <n v="288"/>
    <n v="4"/>
    <x v="1"/>
    <n v="97"/>
    <n v="3"/>
    <x v="2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x v="1"/>
    <x v="2"/>
    <s v="3-5 yrs"/>
    <x v="0"/>
    <s v="Very Dissatisfied"/>
    <n v="112752"/>
  </r>
  <r>
    <n v="32"/>
    <x v="0"/>
    <s v="Travel_Rarely"/>
    <n v="1045"/>
    <x v="0"/>
    <n v="4"/>
    <n v="4"/>
    <s v="Medical"/>
    <n v="291"/>
    <n v="4"/>
    <x v="1"/>
    <n v="32"/>
    <n v="1"/>
    <x v="2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x v="2"/>
    <x v="3"/>
    <s v="10+ yrs"/>
    <x v="0"/>
    <s v="Very Satisfied"/>
    <n v="124800"/>
  </r>
  <r>
    <n v="30"/>
    <x v="1"/>
    <s v="Non-Travel"/>
    <n v="829"/>
    <x v="1"/>
    <n v="1"/>
    <n v="1"/>
    <s v="Life Sciences"/>
    <n v="292"/>
    <n v="3"/>
    <x v="1"/>
    <n v="88"/>
    <n v="2"/>
    <x v="2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  <x v="2"/>
    <x v="2"/>
    <s v="10+ yrs"/>
    <x v="1"/>
    <s v="Satisfied"/>
    <n v="101688"/>
  </r>
  <r>
    <n v="27"/>
    <x v="1"/>
    <s v="Travel_Frequently"/>
    <n v="1242"/>
    <x v="0"/>
    <n v="20"/>
    <n v="3"/>
    <s v="Life Sciences"/>
    <n v="293"/>
    <n v="4"/>
    <x v="0"/>
    <n v="90"/>
    <n v="3"/>
    <x v="0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  <x v="2"/>
    <x v="2"/>
    <s v="6-10 yrs"/>
    <x v="0"/>
    <s v="Satisfied"/>
    <n v="119772"/>
  </r>
  <r>
    <n v="51"/>
    <x v="1"/>
    <s v="Travel_Rarely"/>
    <n v="1469"/>
    <x v="1"/>
    <n v="8"/>
    <n v="4"/>
    <s v="Life Sciences"/>
    <n v="296"/>
    <n v="2"/>
    <x v="1"/>
    <n v="81"/>
    <n v="2"/>
    <x v="2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x v="1"/>
    <x v="3"/>
    <s v="6-10 yrs"/>
    <x v="0"/>
    <s v="Dissatisfied"/>
    <n v="149880"/>
  </r>
  <r>
    <n v="30"/>
    <x v="0"/>
    <s v="Travel_Rarely"/>
    <n v="1005"/>
    <x v="1"/>
    <n v="3"/>
    <n v="3"/>
    <s v="Technical Degree"/>
    <n v="297"/>
    <n v="4"/>
    <x v="0"/>
    <n v="88"/>
    <n v="3"/>
    <x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  <x v="2"/>
    <x v="1"/>
    <s v="3-5 yrs"/>
    <x v="0"/>
    <s v="Very Dissatisfied"/>
    <n v="31884"/>
  </r>
  <r>
    <n v="41"/>
    <x v="1"/>
    <s v="Travel_Rarely"/>
    <n v="896"/>
    <x v="0"/>
    <n v="6"/>
    <n v="3"/>
    <s v="Life Sciences"/>
    <n v="298"/>
    <n v="4"/>
    <x v="0"/>
    <n v="75"/>
    <n v="3"/>
    <x v="2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  <x v="0"/>
    <x v="3"/>
    <s v="0-2 yrs"/>
    <x v="0"/>
    <s v="Very Satisfied"/>
    <n v="163092"/>
  </r>
  <r>
    <n v="30"/>
    <x v="0"/>
    <s v="Travel_Frequently"/>
    <n v="334"/>
    <x v="0"/>
    <n v="26"/>
    <n v="4"/>
    <s v="Marketing"/>
    <n v="299"/>
    <n v="3"/>
    <x v="0"/>
    <n v="52"/>
    <n v="2"/>
    <x v="0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  <x v="2"/>
    <x v="2"/>
    <s v="6-10 yrs"/>
    <x v="0"/>
    <s v="Very Dissatisfied"/>
    <n v="80352"/>
  </r>
  <r>
    <n v="29"/>
    <x v="0"/>
    <s v="Travel_Rarely"/>
    <n v="992"/>
    <x v="1"/>
    <n v="1"/>
    <n v="3"/>
    <s v="Technical Degree"/>
    <n v="300"/>
    <n v="3"/>
    <x v="1"/>
    <n v="85"/>
    <n v="3"/>
    <x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  <x v="2"/>
    <x v="1"/>
    <s v="6-10 yrs"/>
    <x v="0"/>
    <s v="Satisfied"/>
    <n v="24696"/>
  </r>
  <r>
    <n v="45"/>
    <x v="1"/>
    <s v="Non-Travel"/>
    <n v="1052"/>
    <x v="0"/>
    <n v="6"/>
    <n v="3"/>
    <s v="Medical"/>
    <n v="302"/>
    <n v="4"/>
    <x v="0"/>
    <n v="57"/>
    <n v="2"/>
    <x v="2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x v="0"/>
    <x v="2"/>
    <s v="10+ yrs"/>
    <x v="0"/>
    <s v="Very Satisfied"/>
    <n v="106380"/>
  </r>
  <r>
    <n v="54"/>
    <x v="1"/>
    <s v="Travel_Rarely"/>
    <n v="1147"/>
    <x v="0"/>
    <n v="3"/>
    <n v="3"/>
    <s v="Marketing"/>
    <n v="303"/>
    <n v="4"/>
    <x v="0"/>
    <n v="52"/>
    <n v="3"/>
    <x v="0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  <x v="1"/>
    <x v="0"/>
    <s v="6-10 yrs"/>
    <x v="0"/>
    <s v="Very Dissatisfied"/>
    <n v="71280"/>
  </r>
  <r>
    <n v="36"/>
    <x v="1"/>
    <s v="Travel_Rarely"/>
    <n v="1396"/>
    <x v="1"/>
    <n v="5"/>
    <n v="2"/>
    <s v="Life Sciences"/>
    <n v="304"/>
    <n v="4"/>
    <x v="1"/>
    <n v="62"/>
    <n v="3"/>
    <x v="0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  <x v="0"/>
    <x v="0"/>
    <s v="10+ yrs"/>
    <x v="0"/>
    <s v="Dissatisfied"/>
    <n v="70968"/>
  </r>
  <r>
    <n v="33"/>
    <x v="1"/>
    <s v="Travel_Rarely"/>
    <n v="147"/>
    <x v="1"/>
    <n v="4"/>
    <n v="4"/>
    <s v="Medical"/>
    <n v="305"/>
    <n v="3"/>
    <x v="0"/>
    <n v="47"/>
    <n v="2"/>
    <x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  <x v="2"/>
    <x v="1"/>
    <s v="3-5 yrs"/>
    <x v="1"/>
    <s v="Dissatisfied"/>
    <n v="31464"/>
  </r>
  <r>
    <n v="37"/>
    <x v="1"/>
    <s v="Travel_Frequently"/>
    <n v="663"/>
    <x v="1"/>
    <n v="11"/>
    <n v="3"/>
    <s v="Other"/>
    <n v="306"/>
    <n v="2"/>
    <x v="1"/>
    <n v="47"/>
    <n v="3"/>
    <x v="2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x v="0"/>
    <x v="3"/>
    <s v="6-10 yrs"/>
    <x v="0"/>
    <s v="Very Satisfied"/>
    <n v="146220"/>
  </r>
  <r>
    <n v="38"/>
    <x v="1"/>
    <s v="Travel_Rarely"/>
    <n v="119"/>
    <x v="0"/>
    <n v="3"/>
    <n v="3"/>
    <s v="Life Sciences"/>
    <n v="307"/>
    <n v="1"/>
    <x v="1"/>
    <n v="76"/>
    <n v="3"/>
    <x v="2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x v="0"/>
    <x v="3"/>
    <s v="10+ yrs"/>
    <x v="0"/>
    <s v="Satisfied"/>
    <n v="127308"/>
  </r>
  <r>
    <n v="31"/>
    <x v="1"/>
    <s v="Non-Travel"/>
    <n v="979"/>
    <x v="1"/>
    <n v="1"/>
    <n v="4"/>
    <s v="Medical"/>
    <n v="308"/>
    <n v="3"/>
    <x v="1"/>
    <n v="90"/>
    <n v="1"/>
    <x v="0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  <x v="2"/>
    <x v="0"/>
    <s v="3-5 yrs"/>
    <x v="0"/>
    <s v="Satisfied"/>
    <n v="52140"/>
  </r>
  <r>
    <n v="59"/>
    <x v="1"/>
    <s v="Travel_Rarely"/>
    <n v="142"/>
    <x v="1"/>
    <n v="3"/>
    <n v="3"/>
    <s v="Life Sciences"/>
    <n v="309"/>
    <n v="3"/>
    <x v="1"/>
    <n v="70"/>
    <n v="2"/>
    <x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  <x v="1"/>
    <x v="1"/>
    <s v="0-2 yrs"/>
    <x v="0"/>
    <s v="Very Satisfied"/>
    <n v="26124"/>
  </r>
  <r>
    <n v="37"/>
    <x v="1"/>
    <s v="Travel_Frequently"/>
    <n v="319"/>
    <x v="0"/>
    <n v="4"/>
    <n v="4"/>
    <s v="Marketing"/>
    <n v="311"/>
    <n v="1"/>
    <x v="1"/>
    <n v="41"/>
    <n v="3"/>
    <x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  <x v="0"/>
    <x v="1"/>
    <s v="6-10 yrs"/>
    <x v="0"/>
    <s v="Very Satisfied"/>
    <n v="33516"/>
  </r>
  <r>
    <n v="29"/>
    <x v="1"/>
    <s v="Travel_Frequently"/>
    <n v="1413"/>
    <x v="0"/>
    <n v="1"/>
    <n v="1"/>
    <s v="Medical"/>
    <n v="312"/>
    <n v="2"/>
    <x v="0"/>
    <n v="42"/>
    <n v="3"/>
    <x v="2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x v="2"/>
    <x v="2"/>
    <s v="10+ yrs"/>
    <x v="0"/>
    <s v="Very Satisfied"/>
    <n v="95016"/>
  </r>
  <r>
    <n v="35"/>
    <x v="1"/>
    <s v="Travel_Frequently"/>
    <n v="944"/>
    <x v="0"/>
    <n v="1"/>
    <n v="3"/>
    <s v="Marketing"/>
    <n v="314"/>
    <n v="3"/>
    <x v="0"/>
    <n v="92"/>
    <n v="3"/>
    <x v="2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  <x v="2"/>
    <x v="2"/>
    <s v="6-10 yrs"/>
    <x v="0"/>
    <s v="Satisfied"/>
    <n v="105468"/>
  </r>
  <r>
    <n v="29"/>
    <x v="0"/>
    <s v="Travel_Rarely"/>
    <n v="896"/>
    <x v="1"/>
    <n v="18"/>
    <n v="1"/>
    <s v="Medical"/>
    <n v="315"/>
    <n v="3"/>
    <x v="1"/>
    <n v="86"/>
    <n v="2"/>
    <x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  <x v="2"/>
    <x v="1"/>
    <s v="3-5 yrs"/>
    <x v="0"/>
    <s v="Very Satisfied"/>
    <n v="28668"/>
  </r>
  <r>
    <n v="52"/>
    <x v="1"/>
    <s v="Travel_Rarely"/>
    <n v="1323"/>
    <x v="1"/>
    <n v="2"/>
    <n v="3"/>
    <s v="Life Sciences"/>
    <n v="316"/>
    <n v="3"/>
    <x v="0"/>
    <n v="89"/>
    <n v="2"/>
    <x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  <x v="1"/>
    <x v="0"/>
    <s v="0-2 yrs"/>
    <x v="0"/>
    <s v="Very Satisfied"/>
    <n v="38544"/>
  </r>
  <r>
    <n v="42"/>
    <x v="1"/>
    <s v="Travel_Rarely"/>
    <n v="532"/>
    <x v="1"/>
    <n v="4"/>
    <n v="2"/>
    <s v="Technical Degree"/>
    <n v="319"/>
    <n v="3"/>
    <x v="1"/>
    <n v="58"/>
    <n v="3"/>
    <x v="4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x v="0"/>
    <x v="3"/>
    <s v="10+ yrs"/>
    <x v="0"/>
    <s v="Very Satisfied"/>
    <n v="230784"/>
  </r>
  <r>
    <n v="59"/>
    <x v="1"/>
    <s v="Travel_Rarely"/>
    <n v="818"/>
    <x v="2"/>
    <n v="6"/>
    <n v="2"/>
    <s v="Medical"/>
    <n v="321"/>
    <n v="2"/>
    <x v="1"/>
    <n v="52"/>
    <n v="3"/>
    <x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  <x v="1"/>
    <x v="1"/>
    <s v="0-2 yrs"/>
    <x v="0"/>
    <s v="Satisfied"/>
    <n v="27204"/>
  </r>
  <r>
    <n v="50"/>
    <x v="1"/>
    <s v="Travel_Rarely"/>
    <n v="854"/>
    <x v="0"/>
    <n v="1"/>
    <n v="4"/>
    <s v="Medical"/>
    <n v="323"/>
    <n v="4"/>
    <x v="0"/>
    <n v="68"/>
    <n v="3"/>
    <x v="4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x v="1"/>
    <x v="3"/>
    <s v="6-10 yrs"/>
    <x v="0"/>
    <s v="Very Satisfied"/>
    <n v="234204"/>
  </r>
  <r>
    <n v="33"/>
    <x v="0"/>
    <s v="Travel_Rarely"/>
    <n v="813"/>
    <x v="1"/>
    <n v="14"/>
    <n v="3"/>
    <s v="Medical"/>
    <n v="325"/>
    <n v="3"/>
    <x v="1"/>
    <n v="58"/>
    <n v="3"/>
    <x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  <x v="2"/>
    <x v="1"/>
    <s v="3-5 yrs"/>
    <x v="0"/>
    <s v="Very Satisfied"/>
    <n v="29232"/>
  </r>
  <r>
    <n v="43"/>
    <x v="1"/>
    <s v="Travel_Rarely"/>
    <n v="1034"/>
    <x v="0"/>
    <n v="16"/>
    <n v="3"/>
    <s v="Marketing"/>
    <n v="327"/>
    <n v="4"/>
    <x v="0"/>
    <n v="80"/>
    <n v="3"/>
    <x v="3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x v="0"/>
    <x v="3"/>
    <s v="10+ yrs"/>
    <x v="1"/>
    <s v="Very Satisfied"/>
    <n v="192768"/>
  </r>
  <r>
    <n v="33"/>
    <x v="0"/>
    <s v="Travel_Rarely"/>
    <n v="465"/>
    <x v="1"/>
    <n v="2"/>
    <n v="2"/>
    <s v="Life Sciences"/>
    <n v="328"/>
    <n v="1"/>
    <x v="0"/>
    <n v="39"/>
    <n v="3"/>
    <x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  <x v="2"/>
    <x v="1"/>
    <s v="6-10 yrs"/>
    <x v="1"/>
    <s v="Very Dissatisfied"/>
    <n v="32484"/>
  </r>
  <r>
    <n v="52"/>
    <x v="1"/>
    <s v="Non-Travel"/>
    <n v="771"/>
    <x v="0"/>
    <n v="2"/>
    <n v="4"/>
    <s v="Life Sciences"/>
    <n v="329"/>
    <n v="1"/>
    <x v="1"/>
    <n v="79"/>
    <n v="2"/>
    <x v="4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x v="1"/>
    <x v="3"/>
    <s v="10+ yrs"/>
    <x v="0"/>
    <s v="Satisfied"/>
    <n v="228816"/>
  </r>
  <r>
    <n v="32"/>
    <x v="1"/>
    <s v="Travel_Rarely"/>
    <n v="1401"/>
    <x v="0"/>
    <n v="4"/>
    <n v="2"/>
    <s v="Life Sciences"/>
    <n v="330"/>
    <n v="3"/>
    <x v="0"/>
    <n v="56"/>
    <n v="3"/>
    <x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  <x v="2"/>
    <x v="0"/>
    <s v="3-5 yrs"/>
    <x v="0"/>
    <s v="Dissatisfied"/>
    <n v="47172"/>
  </r>
  <r>
    <n v="32"/>
    <x v="0"/>
    <s v="Travel_Rarely"/>
    <n v="515"/>
    <x v="1"/>
    <n v="1"/>
    <n v="3"/>
    <s v="Life Sciences"/>
    <n v="331"/>
    <n v="4"/>
    <x v="1"/>
    <n v="62"/>
    <n v="2"/>
    <x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  <x v="2"/>
    <x v="0"/>
    <s v="3-5 yrs"/>
    <x v="0"/>
    <s v="Satisfied"/>
    <n v="44760"/>
  </r>
  <r>
    <n v="39"/>
    <x v="1"/>
    <s v="Travel_Rarely"/>
    <n v="1431"/>
    <x v="1"/>
    <n v="1"/>
    <n v="4"/>
    <s v="Medical"/>
    <n v="332"/>
    <n v="3"/>
    <x v="0"/>
    <n v="96"/>
    <n v="3"/>
    <x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  <x v="0"/>
    <x v="1"/>
    <s v="3-5 yrs"/>
    <x v="0"/>
    <s v="Satisfied"/>
    <n v="26784"/>
  </r>
  <r>
    <n v="32"/>
    <x v="1"/>
    <s v="Non-Travel"/>
    <n v="976"/>
    <x v="0"/>
    <n v="26"/>
    <n v="4"/>
    <s v="Marketing"/>
    <n v="333"/>
    <n v="3"/>
    <x v="1"/>
    <n v="100"/>
    <n v="3"/>
    <x v="0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  <x v="2"/>
    <x v="0"/>
    <s v="3-5 yrs"/>
    <x v="0"/>
    <s v="Very Satisfied"/>
    <n v="53580"/>
  </r>
  <r>
    <n v="41"/>
    <x v="1"/>
    <s v="Travel_Rarely"/>
    <n v="1411"/>
    <x v="1"/>
    <n v="19"/>
    <n v="2"/>
    <s v="Life Sciences"/>
    <n v="334"/>
    <n v="3"/>
    <x v="1"/>
    <n v="36"/>
    <n v="3"/>
    <x v="0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x v="0"/>
    <x v="0"/>
    <s v="0-2 yrs"/>
    <x v="0"/>
    <s v="Very Dissatisfied"/>
    <n v="36864"/>
  </r>
  <r>
    <n v="40"/>
    <x v="1"/>
    <s v="Travel_Rarely"/>
    <n v="1300"/>
    <x v="1"/>
    <n v="24"/>
    <n v="2"/>
    <s v="Technical Degree"/>
    <n v="335"/>
    <n v="1"/>
    <x v="1"/>
    <n v="62"/>
    <n v="3"/>
    <x v="0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  <x v="0"/>
    <x v="0"/>
    <s v="6-10 yrs"/>
    <x v="0"/>
    <s v="Very Satisfied"/>
    <n v="39828"/>
  </r>
  <r>
    <n v="45"/>
    <x v="1"/>
    <s v="Travel_Rarely"/>
    <n v="252"/>
    <x v="1"/>
    <n v="1"/>
    <n v="3"/>
    <s v="Other"/>
    <n v="336"/>
    <n v="3"/>
    <x v="1"/>
    <n v="70"/>
    <n v="4"/>
    <x v="4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x v="0"/>
    <x v="3"/>
    <s v="10+ yrs"/>
    <x v="0"/>
    <s v="Very Satisfied"/>
    <n v="230424"/>
  </r>
  <r>
    <n v="31"/>
    <x v="1"/>
    <s v="Travel_Frequently"/>
    <n v="1327"/>
    <x v="1"/>
    <n v="3"/>
    <n v="4"/>
    <s v="Medical"/>
    <n v="337"/>
    <n v="2"/>
    <x v="1"/>
    <n v="73"/>
    <n v="3"/>
    <x v="2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x v="2"/>
    <x v="3"/>
    <s v="0-2 yrs"/>
    <x v="0"/>
    <s v="Satisfied"/>
    <n v="164100"/>
  </r>
  <r>
    <n v="33"/>
    <x v="1"/>
    <s v="Travel_Rarely"/>
    <n v="832"/>
    <x v="1"/>
    <n v="5"/>
    <n v="4"/>
    <s v="Life Sciences"/>
    <n v="338"/>
    <n v="3"/>
    <x v="0"/>
    <n v="63"/>
    <n v="2"/>
    <x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  <x v="2"/>
    <x v="1"/>
    <s v="0-2 yrs"/>
    <x v="0"/>
    <s v="Very Satisfied"/>
    <n v="34932"/>
  </r>
  <r>
    <n v="34"/>
    <x v="1"/>
    <s v="Travel_Rarely"/>
    <n v="470"/>
    <x v="1"/>
    <n v="2"/>
    <n v="4"/>
    <s v="Life Sciences"/>
    <n v="339"/>
    <n v="4"/>
    <x v="1"/>
    <n v="84"/>
    <n v="2"/>
    <x v="0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x v="2"/>
    <x v="0"/>
    <s v="10+ yrs"/>
    <x v="0"/>
    <s v="Very Dissatisfied"/>
    <n v="71484"/>
  </r>
  <r>
    <n v="37"/>
    <x v="1"/>
    <s v="Travel_Rarely"/>
    <n v="1017"/>
    <x v="1"/>
    <n v="1"/>
    <n v="2"/>
    <s v="Medical"/>
    <n v="340"/>
    <n v="3"/>
    <x v="0"/>
    <n v="83"/>
    <n v="2"/>
    <x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  <x v="0"/>
    <x v="0"/>
    <s v="3-5 yrs"/>
    <x v="0"/>
    <s v="Very Dissatisfied"/>
    <n v="47040"/>
  </r>
  <r>
    <n v="45"/>
    <x v="1"/>
    <s v="Travel_Frequently"/>
    <n v="1199"/>
    <x v="1"/>
    <n v="7"/>
    <n v="4"/>
    <s v="Life Sciences"/>
    <n v="341"/>
    <n v="1"/>
    <x v="1"/>
    <n v="77"/>
    <n v="4"/>
    <x v="0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  <x v="0"/>
    <x v="2"/>
    <s v="3-5 yrs"/>
    <x v="0"/>
    <s v="Satisfied"/>
    <n v="77208"/>
  </r>
  <r>
    <n v="37"/>
    <x v="0"/>
    <s v="Travel_Frequently"/>
    <n v="504"/>
    <x v="1"/>
    <n v="10"/>
    <n v="3"/>
    <s v="Medical"/>
    <n v="342"/>
    <n v="1"/>
    <x v="1"/>
    <n v="61"/>
    <n v="3"/>
    <x v="2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x v="0"/>
    <x v="3"/>
    <s v="0-2 yrs"/>
    <x v="0"/>
    <s v="Satisfied"/>
    <n v="120576"/>
  </r>
  <r>
    <n v="39"/>
    <x v="1"/>
    <s v="Travel_Frequently"/>
    <n v="505"/>
    <x v="1"/>
    <n v="2"/>
    <n v="4"/>
    <s v="Technical Degree"/>
    <n v="343"/>
    <n v="3"/>
    <x v="0"/>
    <n v="64"/>
    <n v="3"/>
    <x v="2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x v="0"/>
    <x v="3"/>
    <s v="10+ yrs"/>
    <x v="1"/>
    <s v="Satisfied"/>
    <n v="131256"/>
  </r>
  <r>
    <n v="29"/>
    <x v="1"/>
    <s v="Travel_Rarely"/>
    <n v="665"/>
    <x v="1"/>
    <n v="15"/>
    <n v="3"/>
    <s v="Life Sciences"/>
    <n v="346"/>
    <n v="3"/>
    <x v="1"/>
    <n v="60"/>
    <n v="3"/>
    <x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  <x v="2"/>
    <x v="1"/>
    <s v="6-10 yrs"/>
    <x v="0"/>
    <s v="Very Satisfied"/>
    <n v="28080"/>
  </r>
  <r>
    <n v="42"/>
    <x v="1"/>
    <s v="Travel_Rarely"/>
    <n v="916"/>
    <x v="1"/>
    <n v="17"/>
    <n v="2"/>
    <s v="Life Sciences"/>
    <n v="347"/>
    <n v="4"/>
    <x v="0"/>
    <n v="82"/>
    <n v="4"/>
    <x v="0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  <x v="0"/>
    <x v="2"/>
    <s v="3-5 yrs"/>
    <x v="0"/>
    <s v="Very Dissatisfied"/>
    <n v="78540"/>
  </r>
  <r>
    <n v="29"/>
    <x v="1"/>
    <s v="Travel_Rarely"/>
    <n v="1247"/>
    <x v="0"/>
    <n v="20"/>
    <n v="2"/>
    <s v="Marketing"/>
    <n v="349"/>
    <n v="4"/>
    <x v="1"/>
    <n v="45"/>
    <n v="3"/>
    <x v="0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x v="2"/>
    <x v="2"/>
    <s v="3-5 yrs"/>
    <x v="0"/>
    <s v="Very Satisfied"/>
    <n v="83172"/>
  </r>
  <r>
    <n v="25"/>
    <x v="1"/>
    <s v="Travel_Rarely"/>
    <n v="685"/>
    <x v="1"/>
    <n v="1"/>
    <n v="3"/>
    <s v="Life Sciences"/>
    <n v="350"/>
    <n v="1"/>
    <x v="0"/>
    <n v="62"/>
    <n v="3"/>
    <x v="0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  <x v="3"/>
    <x v="0"/>
    <s v="3-5 yrs"/>
    <x v="0"/>
    <s v="Satisfied"/>
    <n v="58776"/>
  </r>
  <r>
    <n v="42"/>
    <x v="1"/>
    <s v="Travel_Rarely"/>
    <n v="269"/>
    <x v="1"/>
    <n v="2"/>
    <n v="3"/>
    <s v="Medical"/>
    <n v="351"/>
    <n v="4"/>
    <x v="0"/>
    <n v="56"/>
    <n v="2"/>
    <x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  <x v="0"/>
    <x v="1"/>
    <s v="6-10 yrs"/>
    <x v="0"/>
    <s v="Very Dissatisfied"/>
    <n v="31116"/>
  </r>
  <r>
    <n v="40"/>
    <x v="1"/>
    <s v="Travel_Rarely"/>
    <n v="1416"/>
    <x v="1"/>
    <n v="2"/>
    <n v="2"/>
    <s v="Medical"/>
    <n v="352"/>
    <n v="1"/>
    <x v="1"/>
    <n v="49"/>
    <n v="3"/>
    <x v="4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x v="0"/>
    <x v="3"/>
    <s v="10+ yrs"/>
    <x v="0"/>
    <s v="Satisfied"/>
    <n v="233232"/>
  </r>
  <r>
    <n v="51"/>
    <x v="1"/>
    <s v="Travel_Rarely"/>
    <n v="833"/>
    <x v="1"/>
    <n v="1"/>
    <n v="3"/>
    <s v="Life Sciences"/>
    <n v="353"/>
    <n v="3"/>
    <x v="1"/>
    <n v="96"/>
    <n v="3"/>
    <x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  <x v="1"/>
    <x v="1"/>
    <s v="0-2 yrs"/>
    <x v="0"/>
    <s v="Very Satisfied"/>
    <n v="32676"/>
  </r>
  <r>
    <n v="31"/>
    <x v="0"/>
    <s v="Travel_Frequently"/>
    <n v="307"/>
    <x v="1"/>
    <n v="29"/>
    <n v="2"/>
    <s v="Medical"/>
    <n v="355"/>
    <n v="3"/>
    <x v="1"/>
    <n v="71"/>
    <n v="2"/>
    <x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  <x v="2"/>
    <x v="0"/>
    <s v="3-5 yrs"/>
    <x v="0"/>
    <s v="Dissatisfied"/>
    <n v="41748"/>
  </r>
  <r>
    <n v="32"/>
    <x v="1"/>
    <s v="Travel_Frequently"/>
    <n v="1311"/>
    <x v="1"/>
    <n v="7"/>
    <n v="3"/>
    <s v="Life Sciences"/>
    <n v="359"/>
    <n v="2"/>
    <x v="1"/>
    <n v="100"/>
    <n v="4"/>
    <x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  <x v="2"/>
    <x v="1"/>
    <s v="3-5 yrs"/>
    <x v="1"/>
    <s v="Dissatisfied"/>
    <n v="33528"/>
  </r>
  <r>
    <n v="38"/>
    <x v="1"/>
    <s v="Non-Travel"/>
    <n v="1327"/>
    <x v="0"/>
    <n v="2"/>
    <n v="2"/>
    <s v="Life Sciences"/>
    <n v="361"/>
    <n v="4"/>
    <x v="1"/>
    <n v="39"/>
    <n v="2"/>
    <x v="0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  <x v="0"/>
    <x v="0"/>
    <s v="6-10 yrs"/>
    <x v="0"/>
    <s v="Very Satisfied"/>
    <n v="62988"/>
  </r>
  <r>
    <n v="32"/>
    <x v="1"/>
    <s v="Travel_Rarely"/>
    <n v="128"/>
    <x v="1"/>
    <n v="2"/>
    <n v="1"/>
    <s v="Technical Degree"/>
    <n v="362"/>
    <n v="4"/>
    <x v="1"/>
    <n v="84"/>
    <n v="2"/>
    <x v="0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  <x v="2"/>
    <x v="1"/>
    <s v="6-10 yrs"/>
    <x v="0"/>
    <s v="Very Dissatisfied"/>
    <n v="26112"/>
  </r>
  <r>
    <n v="46"/>
    <x v="1"/>
    <s v="Travel_Rarely"/>
    <n v="488"/>
    <x v="0"/>
    <n v="2"/>
    <n v="3"/>
    <s v="Technical Degree"/>
    <n v="363"/>
    <n v="3"/>
    <x v="0"/>
    <n v="75"/>
    <n v="1"/>
    <x v="3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x v="1"/>
    <x v="3"/>
    <s v="6-10 yrs"/>
    <x v="0"/>
    <s v="Dissatisfied"/>
    <n v="202464"/>
  </r>
  <r>
    <n v="28"/>
    <x v="0"/>
    <s v="Travel_Rarely"/>
    <n v="529"/>
    <x v="1"/>
    <n v="2"/>
    <n v="4"/>
    <s v="Life Sciences"/>
    <n v="364"/>
    <n v="1"/>
    <x v="1"/>
    <n v="79"/>
    <n v="3"/>
    <x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  <x v="2"/>
    <x v="0"/>
    <s v="0-2 yrs"/>
    <x v="0"/>
    <s v="Satisfied"/>
    <n v="41820"/>
  </r>
  <r>
    <n v="29"/>
    <x v="1"/>
    <s v="Travel_Rarely"/>
    <n v="1210"/>
    <x v="0"/>
    <n v="2"/>
    <n v="3"/>
    <s v="Medical"/>
    <n v="366"/>
    <n v="1"/>
    <x v="1"/>
    <n v="78"/>
    <n v="2"/>
    <x v="0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  <x v="2"/>
    <x v="2"/>
    <s v="0-2 yrs"/>
    <x v="0"/>
    <s v="Dissatisfied"/>
    <n v="79728"/>
  </r>
  <r>
    <n v="31"/>
    <x v="1"/>
    <s v="Travel_Rarely"/>
    <n v="1463"/>
    <x v="1"/>
    <n v="23"/>
    <n v="3"/>
    <s v="Medical"/>
    <n v="367"/>
    <n v="2"/>
    <x v="1"/>
    <n v="64"/>
    <n v="2"/>
    <x v="0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  <x v="2"/>
    <x v="0"/>
    <s v="6-10 yrs"/>
    <x v="1"/>
    <s v="Very Satisfied"/>
    <n v="66984"/>
  </r>
  <r>
    <n v="25"/>
    <x v="1"/>
    <s v="Non-Travel"/>
    <n v="675"/>
    <x v="1"/>
    <n v="5"/>
    <n v="2"/>
    <s v="Life Sciences"/>
    <n v="369"/>
    <n v="2"/>
    <x v="1"/>
    <n v="85"/>
    <n v="4"/>
    <x v="0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  <x v="3"/>
    <x v="0"/>
    <s v="6-10 yrs"/>
    <x v="0"/>
    <s v="Very Dissatisfied"/>
    <n v="48000"/>
  </r>
  <r>
    <n v="45"/>
    <x v="1"/>
    <s v="Travel_Rarely"/>
    <n v="1385"/>
    <x v="1"/>
    <n v="20"/>
    <n v="2"/>
    <s v="Medical"/>
    <n v="372"/>
    <n v="3"/>
    <x v="1"/>
    <n v="79"/>
    <n v="3"/>
    <x v="3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x v="0"/>
    <x v="3"/>
    <s v="10+ yrs"/>
    <x v="0"/>
    <s v="Very Satisfied"/>
    <n v="161952"/>
  </r>
  <r>
    <n v="36"/>
    <x v="1"/>
    <s v="Travel_Rarely"/>
    <n v="1403"/>
    <x v="1"/>
    <n v="6"/>
    <n v="3"/>
    <s v="Life Sciences"/>
    <n v="373"/>
    <n v="4"/>
    <x v="1"/>
    <n v="47"/>
    <n v="3"/>
    <x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x v="0"/>
    <x v="0"/>
    <s v="10+ yrs"/>
    <x v="0"/>
    <s v="Very Satisfied"/>
    <n v="38520"/>
  </r>
  <r>
    <n v="55"/>
    <x v="1"/>
    <s v="Travel_Rarely"/>
    <n v="452"/>
    <x v="1"/>
    <n v="1"/>
    <n v="3"/>
    <s v="Medical"/>
    <n v="374"/>
    <n v="4"/>
    <x v="1"/>
    <n v="81"/>
    <n v="3"/>
    <x v="4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x v="1"/>
    <x v="3"/>
    <s v="10+ yrs"/>
    <x v="0"/>
    <s v="Very Dissatisfied"/>
    <n v="228540"/>
  </r>
  <r>
    <n v="47"/>
    <x v="0"/>
    <s v="Non-Travel"/>
    <n v="666"/>
    <x v="1"/>
    <n v="29"/>
    <n v="4"/>
    <s v="Life Sciences"/>
    <n v="376"/>
    <n v="1"/>
    <x v="1"/>
    <n v="88"/>
    <n v="3"/>
    <x v="2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x v="1"/>
    <x v="3"/>
    <s v="6-10 yrs"/>
    <x v="0"/>
    <s v="Dissatisfied"/>
    <n v="142188"/>
  </r>
  <r>
    <n v="28"/>
    <x v="1"/>
    <s v="Travel_Rarely"/>
    <n v="1158"/>
    <x v="1"/>
    <n v="9"/>
    <n v="3"/>
    <s v="Medical"/>
    <n v="377"/>
    <n v="4"/>
    <x v="1"/>
    <n v="94"/>
    <n v="3"/>
    <x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  <x v="2"/>
    <x v="1"/>
    <s v="3-5 yrs"/>
    <x v="1"/>
    <s v="Very Satisfied"/>
    <n v="24840"/>
  </r>
  <r>
    <n v="37"/>
    <x v="1"/>
    <s v="Travel_Rarely"/>
    <n v="228"/>
    <x v="0"/>
    <n v="6"/>
    <n v="4"/>
    <s v="Medical"/>
    <n v="378"/>
    <n v="3"/>
    <x v="1"/>
    <n v="98"/>
    <n v="3"/>
    <x v="0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  <x v="0"/>
    <x v="2"/>
    <s v="3-5 yrs"/>
    <x v="0"/>
    <s v="Very Satisfied"/>
    <n v="78024"/>
  </r>
  <r>
    <n v="21"/>
    <x v="1"/>
    <s v="Travel_Rarely"/>
    <n v="996"/>
    <x v="1"/>
    <n v="3"/>
    <n v="2"/>
    <s v="Medical"/>
    <n v="379"/>
    <n v="4"/>
    <x v="1"/>
    <n v="100"/>
    <n v="2"/>
    <x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  <x v="3"/>
    <x v="0"/>
    <s v="3-5 yrs"/>
    <x v="0"/>
    <s v="Satisfied"/>
    <n v="38760"/>
  </r>
  <r>
    <n v="37"/>
    <x v="1"/>
    <s v="Non-Travel"/>
    <n v="728"/>
    <x v="1"/>
    <n v="1"/>
    <n v="4"/>
    <s v="Medical"/>
    <n v="380"/>
    <n v="1"/>
    <x v="0"/>
    <n v="80"/>
    <n v="3"/>
    <x v="2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x v="0"/>
    <x v="3"/>
    <s v="3-5 yrs"/>
    <x v="0"/>
    <s v="Very Satisfied"/>
    <n v="163236"/>
  </r>
  <r>
    <n v="35"/>
    <x v="1"/>
    <s v="Travel_Rarely"/>
    <n v="1315"/>
    <x v="1"/>
    <n v="22"/>
    <n v="3"/>
    <s v="Life Sciences"/>
    <n v="381"/>
    <n v="2"/>
    <x v="0"/>
    <n v="71"/>
    <n v="4"/>
    <x v="2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x v="2"/>
    <x v="3"/>
    <s v="6-10 yrs"/>
    <x v="0"/>
    <s v="Dissatisfied"/>
    <n v="143952"/>
  </r>
  <r>
    <n v="38"/>
    <x v="1"/>
    <s v="Travel_Rarely"/>
    <n v="322"/>
    <x v="0"/>
    <n v="7"/>
    <n v="2"/>
    <s v="Medical"/>
    <n v="382"/>
    <n v="1"/>
    <x v="0"/>
    <n v="44"/>
    <n v="4"/>
    <x v="0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  <x v="0"/>
    <x v="0"/>
    <s v="6-10 yrs"/>
    <x v="1"/>
    <s v="Very Dissatisfied"/>
    <n v="67260"/>
  </r>
  <r>
    <n v="26"/>
    <x v="1"/>
    <s v="Travel_Frequently"/>
    <n v="1479"/>
    <x v="1"/>
    <n v="1"/>
    <n v="3"/>
    <s v="Life Sciences"/>
    <n v="384"/>
    <n v="3"/>
    <x v="0"/>
    <n v="84"/>
    <n v="3"/>
    <x v="0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  <x v="2"/>
    <x v="2"/>
    <s v="6-10 yrs"/>
    <x v="1"/>
    <s v="Dissatisfied"/>
    <n v="76764"/>
  </r>
  <r>
    <n v="50"/>
    <x v="1"/>
    <s v="Travel_Rarely"/>
    <n v="797"/>
    <x v="1"/>
    <n v="4"/>
    <n v="1"/>
    <s v="Life Sciences"/>
    <n v="385"/>
    <n v="1"/>
    <x v="1"/>
    <n v="96"/>
    <n v="3"/>
    <x v="4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x v="1"/>
    <x v="3"/>
    <s v="6-10 yrs"/>
    <x v="0"/>
    <s v="Dissatisfied"/>
    <n v="229728"/>
  </r>
  <r>
    <n v="53"/>
    <x v="1"/>
    <s v="Travel_Rarely"/>
    <n v="1070"/>
    <x v="1"/>
    <n v="3"/>
    <n v="4"/>
    <s v="Medical"/>
    <n v="386"/>
    <n v="3"/>
    <x v="1"/>
    <n v="45"/>
    <n v="3"/>
    <x v="3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x v="1"/>
    <x v="3"/>
    <s v="3-5 yrs"/>
    <x v="0"/>
    <s v="Satisfied"/>
    <n v="211008"/>
  </r>
  <r>
    <n v="42"/>
    <x v="1"/>
    <s v="Travel_Rarely"/>
    <n v="635"/>
    <x v="0"/>
    <n v="1"/>
    <n v="1"/>
    <s v="Life Sciences"/>
    <n v="387"/>
    <n v="2"/>
    <x v="1"/>
    <n v="99"/>
    <n v="3"/>
    <x v="0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x v="0"/>
    <x v="0"/>
    <s v="10+ yrs"/>
    <x v="1"/>
    <s v="Satisfied"/>
    <n v="58884"/>
  </r>
  <r>
    <n v="29"/>
    <x v="1"/>
    <s v="Travel_Frequently"/>
    <n v="442"/>
    <x v="0"/>
    <n v="2"/>
    <n v="2"/>
    <s v="Life Sciences"/>
    <n v="388"/>
    <n v="2"/>
    <x v="1"/>
    <n v="44"/>
    <n v="3"/>
    <x v="0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  <x v="2"/>
    <x v="0"/>
    <s v="6-10 yrs"/>
    <x v="0"/>
    <s v="Very Satisfied"/>
    <n v="54648"/>
  </r>
  <r>
    <n v="55"/>
    <x v="1"/>
    <s v="Travel_Rarely"/>
    <n v="147"/>
    <x v="1"/>
    <n v="20"/>
    <n v="2"/>
    <s v="Technical Degree"/>
    <n v="389"/>
    <n v="2"/>
    <x v="1"/>
    <n v="37"/>
    <n v="3"/>
    <x v="0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x v="1"/>
    <x v="0"/>
    <s v="6-10 yrs"/>
    <x v="0"/>
    <s v="Very Satisfied"/>
    <n v="64980"/>
  </r>
  <r>
    <n v="26"/>
    <x v="1"/>
    <s v="Travel_Frequently"/>
    <n v="496"/>
    <x v="1"/>
    <n v="11"/>
    <n v="2"/>
    <s v="Medical"/>
    <n v="390"/>
    <n v="1"/>
    <x v="1"/>
    <n v="60"/>
    <n v="3"/>
    <x v="0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  <x v="2"/>
    <x v="0"/>
    <s v="3-5 yrs"/>
    <x v="0"/>
    <s v="Very Dissatisfied"/>
    <n v="56892"/>
  </r>
  <r>
    <n v="37"/>
    <x v="1"/>
    <s v="Travel_Rarely"/>
    <n v="1372"/>
    <x v="1"/>
    <n v="1"/>
    <n v="3"/>
    <s v="Life Sciences"/>
    <n v="391"/>
    <n v="4"/>
    <x v="0"/>
    <n v="42"/>
    <n v="3"/>
    <x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x v="0"/>
    <x v="1"/>
    <s v="10+ yrs"/>
    <x v="0"/>
    <s v="Very Satisfied"/>
    <n v="25380"/>
  </r>
  <r>
    <n v="44"/>
    <x v="0"/>
    <s v="Travel_Frequently"/>
    <n v="920"/>
    <x v="1"/>
    <n v="24"/>
    <n v="3"/>
    <s v="Life Sciences"/>
    <n v="392"/>
    <n v="4"/>
    <x v="1"/>
    <n v="43"/>
    <n v="3"/>
    <x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x v="0"/>
    <x v="0"/>
    <s v="0-2 yrs"/>
    <x v="1"/>
    <s v="Satisfied"/>
    <n v="37932"/>
  </r>
  <r>
    <n v="38"/>
    <x v="1"/>
    <s v="Travel_Rarely"/>
    <n v="688"/>
    <x v="1"/>
    <n v="23"/>
    <n v="4"/>
    <s v="Life Sciences"/>
    <n v="393"/>
    <n v="4"/>
    <x v="1"/>
    <n v="82"/>
    <n v="3"/>
    <x v="0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x v="0"/>
    <x v="0"/>
    <s v="0-2 yrs"/>
    <x v="0"/>
    <s v="Very Satisfied"/>
    <n v="68940"/>
  </r>
  <r>
    <n v="26"/>
    <x v="0"/>
    <s v="Travel_Rarely"/>
    <n v="1449"/>
    <x v="1"/>
    <n v="16"/>
    <n v="4"/>
    <s v="Medical"/>
    <n v="394"/>
    <n v="1"/>
    <x v="1"/>
    <n v="45"/>
    <n v="3"/>
    <x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  <x v="2"/>
    <x v="1"/>
    <s v="3-5 yrs"/>
    <x v="0"/>
    <s v="Dissatisfied"/>
    <n v="28476"/>
  </r>
  <r>
    <n v="28"/>
    <x v="1"/>
    <s v="Travel_Rarely"/>
    <n v="1117"/>
    <x v="1"/>
    <n v="8"/>
    <n v="2"/>
    <s v="Life Sciences"/>
    <n v="395"/>
    <n v="4"/>
    <x v="0"/>
    <n v="66"/>
    <n v="3"/>
    <x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  <x v="2"/>
    <x v="0"/>
    <s v="3-5 yrs"/>
    <x v="1"/>
    <s v="Very Satisfied"/>
    <n v="39720"/>
  </r>
  <r>
    <n v="49"/>
    <x v="1"/>
    <s v="Travel_Frequently"/>
    <n v="636"/>
    <x v="1"/>
    <n v="10"/>
    <n v="4"/>
    <s v="Life Sciences"/>
    <n v="396"/>
    <n v="3"/>
    <x v="0"/>
    <n v="35"/>
    <n v="3"/>
    <x v="4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  <x v="1"/>
    <x v="3"/>
    <s v="3-5 yrs"/>
    <x v="0"/>
    <s v="Very Dissatisfied"/>
    <n v="223980"/>
  </r>
  <r>
    <n v="36"/>
    <x v="1"/>
    <s v="Travel_Rarely"/>
    <n v="506"/>
    <x v="1"/>
    <n v="3"/>
    <n v="3"/>
    <s v="Technical Degree"/>
    <n v="397"/>
    <n v="3"/>
    <x v="1"/>
    <n v="30"/>
    <n v="3"/>
    <x v="0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  <x v="0"/>
    <x v="0"/>
    <s v="6-10 yrs"/>
    <x v="0"/>
    <s v="Dissatisfied"/>
    <n v="53820"/>
  </r>
  <r>
    <n v="31"/>
    <x v="1"/>
    <s v="Travel_Frequently"/>
    <n v="444"/>
    <x v="0"/>
    <n v="5"/>
    <n v="3"/>
    <s v="Marketing"/>
    <n v="399"/>
    <n v="4"/>
    <x v="0"/>
    <n v="84"/>
    <n v="3"/>
    <x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  <x v="2"/>
    <x v="1"/>
    <s v="0-2 yrs"/>
    <x v="0"/>
    <s v="Dissatisfied"/>
    <n v="33468"/>
  </r>
  <r>
    <n v="26"/>
    <x v="0"/>
    <s v="Travel_Rarely"/>
    <n v="950"/>
    <x v="0"/>
    <n v="4"/>
    <n v="4"/>
    <s v="Marketing"/>
    <n v="401"/>
    <n v="4"/>
    <x v="1"/>
    <n v="48"/>
    <n v="2"/>
    <x v="0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  <x v="2"/>
    <x v="0"/>
    <s v="6-10 yrs"/>
    <x v="0"/>
    <s v="Very Satisfied"/>
    <n v="69936"/>
  </r>
  <r>
    <n v="37"/>
    <x v="1"/>
    <s v="Travel_Frequently"/>
    <n v="889"/>
    <x v="1"/>
    <n v="9"/>
    <n v="3"/>
    <s v="Medical"/>
    <n v="403"/>
    <n v="2"/>
    <x v="1"/>
    <n v="53"/>
    <n v="3"/>
    <x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  <x v="0"/>
    <x v="1"/>
    <s v="3-5 yrs"/>
    <x v="0"/>
    <s v="Very Satisfied"/>
    <n v="27912"/>
  </r>
  <r>
    <n v="42"/>
    <x v="1"/>
    <s v="Travel_Frequently"/>
    <n v="555"/>
    <x v="0"/>
    <n v="26"/>
    <n v="3"/>
    <s v="Marketing"/>
    <n v="404"/>
    <n v="3"/>
    <x v="0"/>
    <n v="77"/>
    <n v="3"/>
    <x v="3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x v="0"/>
    <x v="3"/>
    <s v="10+ yrs"/>
    <x v="0"/>
    <s v="Dissatisfied"/>
    <n v="162300"/>
  </r>
  <r>
    <n v="18"/>
    <x v="0"/>
    <s v="Travel_Rarely"/>
    <n v="230"/>
    <x v="1"/>
    <n v="3"/>
    <n v="3"/>
    <s v="Life Sciences"/>
    <n v="405"/>
    <n v="3"/>
    <x v="1"/>
    <n v="54"/>
    <n v="3"/>
    <x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  <x v="3"/>
    <x v="1"/>
    <s v="0-2 yrs"/>
    <x v="0"/>
    <s v="Satisfied"/>
    <n v="17040"/>
  </r>
  <r>
    <n v="35"/>
    <x v="1"/>
    <s v="Travel_Rarely"/>
    <n v="1232"/>
    <x v="0"/>
    <n v="16"/>
    <n v="3"/>
    <s v="Marketing"/>
    <n v="406"/>
    <n v="3"/>
    <x v="1"/>
    <n v="96"/>
    <n v="3"/>
    <x v="2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  <x v="2"/>
    <x v="2"/>
    <s v="10+ yrs"/>
    <x v="0"/>
    <s v="Dissatisfied"/>
    <n v="96240"/>
  </r>
  <r>
    <n v="36"/>
    <x v="1"/>
    <s v="Travel_Frequently"/>
    <n v="566"/>
    <x v="1"/>
    <n v="18"/>
    <n v="4"/>
    <s v="Life Sciences"/>
    <n v="407"/>
    <n v="3"/>
    <x v="1"/>
    <n v="81"/>
    <n v="4"/>
    <x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  <x v="0"/>
    <x v="0"/>
    <s v="0-2 yrs"/>
    <x v="0"/>
    <s v="Very Satisfied"/>
    <n v="44256"/>
  </r>
  <r>
    <n v="51"/>
    <x v="1"/>
    <s v="Travel_Rarely"/>
    <n v="1302"/>
    <x v="1"/>
    <n v="2"/>
    <n v="3"/>
    <s v="Medical"/>
    <n v="408"/>
    <n v="4"/>
    <x v="1"/>
    <n v="84"/>
    <n v="1"/>
    <x v="0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x v="1"/>
    <x v="0"/>
    <s v="3-5 yrs"/>
    <x v="0"/>
    <s v="Dissatisfied"/>
    <n v="65784"/>
  </r>
  <r>
    <n v="41"/>
    <x v="1"/>
    <s v="Travel_Rarely"/>
    <n v="334"/>
    <x v="0"/>
    <n v="2"/>
    <n v="4"/>
    <s v="Life Sciences"/>
    <n v="410"/>
    <n v="4"/>
    <x v="1"/>
    <n v="88"/>
    <n v="3"/>
    <x v="3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x v="0"/>
    <x v="3"/>
    <s v="10+ yrs"/>
    <x v="0"/>
    <s v="Dissatisfied"/>
    <n v="192180"/>
  </r>
  <r>
    <n v="18"/>
    <x v="1"/>
    <s v="Travel_Rarely"/>
    <n v="812"/>
    <x v="0"/>
    <n v="10"/>
    <n v="3"/>
    <s v="Medical"/>
    <n v="411"/>
    <n v="4"/>
    <x v="0"/>
    <n v="69"/>
    <n v="2"/>
    <x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  <x v="3"/>
    <x v="1"/>
    <s v="0-2 yrs"/>
    <x v="0"/>
    <s v="Satisfied"/>
    <n v="14400"/>
  </r>
  <r>
    <n v="28"/>
    <x v="1"/>
    <s v="Travel_Rarely"/>
    <n v="1476"/>
    <x v="1"/>
    <n v="16"/>
    <n v="2"/>
    <s v="Medical"/>
    <n v="412"/>
    <n v="2"/>
    <x v="1"/>
    <n v="68"/>
    <n v="4"/>
    <x v="0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  <x v="2"/>
    <x v="0"/>
    <s v="6-10 yrs"/>
    <x v="0"/>
    <s v="Very Dissatisfied"/>
    <n v="67932"/>
  </r>
  <r>
    <n v="31"/>
    <x v="1"/>
    <s v="Travel_Rarely"/>
    <n v="218"/>
    <x v="0"/>
    <n v="7"/>
    <n v="3"/>
    <s v="Technical Degree"/>
    <n v="416"/>
    <n v="2"/>
    <x v="1"/>
    <n v="100"/>
    <n v="4"/>
    <x v="0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  <x v="2"/>
    <x v="2"/>
    <s v="6-10 yrs"/>
    <x v="0"/>
    <s v="Very Satisfied"/>
    <n v="83148"/>
  </r>
  <r>
    <n v="39"/>
    <x v="1"/>
    <s v="Travel_Rarely"/>
    <n v="1132"/>
    <x v="1"/>
    <n v="1"/>
    <n v="3"/>
    <s v="Medical"/>
    <n v="417"/>
    <n v="3"/>
    <x v="1"/>
    <n v="48"/>
    <n v="4"/>
    <x v="2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x v="0"/>
    <x v="2"/>
    <s v="10+ yrs"/>
    <x v="0"/>
    <s v="Very Satisfied"/>
    <n v="115356"/>
  </r>
  <r>
    <n v="36"/>
    <x v="1"/>
    <s v="Non-Travel"/>
    <n v="1105"/>
    <x v="1"/>
    <n v="24"/>
    <n v="4"/>
    <s v="Life Sciences"/>
    <n v="419"/>
    <n v="2"/>
    <x v="0"/>
    <n v="47"/>
    <n v="3"/>
    <x v="0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  <x v="0"/>
    <x v="0"/>
    <s v="6-10 yrs"/>
    <x v="0"/>
    <s v="Dissatisfied"/>
    <n v="68088"/>
  </r>
  <r>
    <n v="32"/>
    <x v="1"/>
    <s v="Travel_Rarely"/>
    <n v="906"/>
    <x v="0"/>
    <n v="7"/>
    <n v="3"/>
    <s v="Life Sciences"/>
    <n v="420"/>
    <n v="4"/>
    <x v="1"/>
    <n v="91"/>
    <n v="2"/>
    <x v="0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x v="2"/>
    <x v="0"/>
    <s v="10+ yrs"/>
    <x v="0"/>
    <s v="Satisfied"/>
    <n v="65808"/>
  </r>
  <r>
    <n v="38"/>
    <x v="1"/>
    <s v="Travel_Rarely"/>
    <n v="849"/>
    <x v="1"/>
    <n v="25"/>
    <n v="2"/>
    <s v="Life Sciences"/>
    <n v="421"/>
    <n v="1"/>
    <x v="0"/>
    <n v="81"/>
    <n v="2"/>
    <x v="2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x v="0"/>
    <x v="3"/>
    <s v="6-10 yrs"/>
    <x v="0"/>
    <s v="Dissatisfied"/>
    <n v="144732"/>
  </r>
  <r>
    <n v="58"/>
    <x v="1"/>
    <s v="Non-Travel"/>
    <n v="390"/>
    <x v="1"/>
    <n v="1"/>
    <n v="4"/>
    <s v="Life Sciences"/>
    <n v="422"/>
    <n v="4"/>
    <x v="1"/>
    <n v="32"/>
    <n v="1"/>
    <x v="0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x v="1"/>
    <x v="0"/>
    <s v="3-5 yrs"/>
    <x v="0"/>
    <s v="Satisfied"/>
    <n v="67920"/>
  </r>
  <r>
    <n v="31"/>
    <x v="1"/>
    <s v="Travel_Rarely"/>
    <n v="691"/>
    <x v="1"/>
    <n v="5"/>
    <n v="4"/>
    <s v="Technical Degree"/>
    <n v="423"/>
    <n v="3"/>
    <x v="1"/>
    <n v="86"/>
    <n v="3"/>
    <x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  <x v="2"/>
    <x v="0"/>
    <s v="3-5 yrs"/>
    <x v="0"/>
    <s v="Very Satisfied"/>
    <n v="57852"/>
  </r>
  <r>
    <n v="31"/>
    <x v="1"/>
    <s v="Travel_Rarely"/>
    <n v="106"/>
    <x v="2"/>
    <n v="2"/>
    <n v="3"/>
    <s v="Human Resources"/>
    <n v="424"/>
    <n v="1"/>
    <x v="1"/>
    <n v="62"/>
    <n v="2"/>
    <x v="0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  <x v="2"/>
    <x v="2"/>
    <s v="0-2 yrs"/>
    <x v="0"/>
    <s v="Very Dissatisfied"/>
    <n v="76920"/>
  </r>
  <r>
    <n v="45"/>
    <x v="1"/>
    <s v="Travel_Frequently"/>
    <n v="1249"/>
    <x v="1"/>
    <n v="7"/>
    <n v="3"/>
    <s v="Life Sciences"/>
    <n v="425"/>
    <n v="1"/>
    <x v="1"/>
    <n v="97"/>
    <n v="3"/>
    <x v="2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x v="0"/>
    <x v="0"/>
    <s v="10+ yrs"/>
    <x v="0"/>
    <s v="Very Dissatisfied"/>
    <n v="62520"/>
  </r>
  <r>
    <n v="31"/>
    <x v="1"/>
    <s v="Travel_Rarely"/>
    <n v="192"/>
    <x v="1"/>
    <n v="2"/>
    <n v="4"/>
    <s v="Life Sciences"/>
    <n v="426"/>
    <n v="3"/>
    <x v="1"/>
    <n v="32"/>
    <n v="3"/>
    <x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  <x v="2"/>
    <x v="1"/>
    <s v="0-2 yrs"/>
    <x v="0"/>
    <s v="Very Satisfied"/>
    <n v="32340"/>
  </r>
  <r>
    <n v="33"/>
    <x v="1"/>
    <s v="Travel_Frequently"/>
    <n v="553"/>
    <x v="1"/>
    <n v="5"/>
    <n v="4"/>
    <s v="Life Sciences"/>
    <n v="428"/>
    <n v="4"/>
    <x v="0"/>
    <n v="74"/>
    <n v="3"/>
    <x v="2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x v="2"/>
    <x v="3"/>
    <s v="6-10 yrs"/>
    <x v="0"/>
    <s v="Dissatisfied"/>
    <n v="142536"/>
  </r>
  <r>
    <n v="39"/>
    <x v="1"/>
    <s v="Travel_Rarely"/>
    <n v="117"/>
    <x v="1"/>
    <n v="10"/>
    <n v="1"/>
    <s v="Medical"/>
    <n v="429"/>
    <n v="3"/>
    <x v="1"/>
    <n v="99"/>
    <n v="3"/>
    <x v="3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x v="0"/>
    <x v="3"/>
    <s v="10+ yrs"/>
    <x v="0"/>
    <s v="Very Dissatisfied"/>
    <n v="204816"/>
  </r>
  <r>
    <n v="43"/>
    <x v="1"/>
    <s v="Travel_Frequently"/>
    <n v="185"/>
    <x v="1"/>
    <n v="10"/>
    <n v="4"/>
    <s v="Life Sciences"/>
    <n v="430"/>
    <n v="3"/>
    <x v="0"/>
    <n v="33"/>
    <n v="3"/>
    <x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  <x v="0"/>
    <x v="1"/>
    <s v="6-10 yrs"/>
    <x v="0"/>
    <s v="Very Satisfied"/>
    <n v="29460"/>
  </r>
  <r>
    <n v="49"/>
    <x v="1"/>
    <s v="Travel_Rarely"/>
    <n v="1091"/>
    <x v="1"/>
    <n v="1"/>
    <n v="2"/>
    <s v="Technical Degree"/>
    <n v="431"/>
    <n v="3"/>
    <x v="0"/>
    <n v="90"/>
    <n v="2"/>
    <x v="3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  <x v="1"/>
    <x v="3"/>
    <s v="6-10 yrs"/>
    <x v="0"/>
    <s v="Satisfied"/>
    <n v="167568"/>
  </r>
  <r>
    <n v="52"/>
    <x v="0"/>
    <s v="Travel_Rarely"/>
    <n v="723"/>
    <x v="1"/>
    <n v="8"/>
    <n v="4"/>
    <s v="Medical"/>
    <n v="433"/>
    <n v="3"/>
    <x v="1"/>
    <n v="85"/>
    <n v="2"/>
    <x v="0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  <x v="1"/>
    <x v="0"/>
    <s v="6-10 yrs"/>
    <x v="0"/>
    <s v="Dissatisfied"/>
    <n v="59292"/>
  </r>
  <r>
    <n v="27"/>
    <x v="1"/>
    <s v="Travel_Rarely"/>
    <n v="1220"/>
    <x v="1"/>
    <n v="5"/>
    <n v="3"/>
    <s v="Life Sciences"/>
    <n v="434"/>
    <n v="3"/>
    <x v="0"/>
    <n v="85"/>
    <n v="3"/>
    <x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  <x v="2"/>
    <x v="1"/>
    <s v="3-5 yrs"/>
    <x v="0"/>
    <s v="Dissatisfied"/>
    <n v="29736"/>
  </r>
  <r>
    <n v="32"/>
    <x v="1"/>
    <s v="Travel_Rarely"/>
    <n v="588"/>
    <x v="0"/>
    <n v="8"/>
    <n v="2"/>
    <s v="Technical Degree"/>
    <n v="436"/>
    <n v="3"/>
    <x v="0"/>
    <n v="65"/>
    <n v="2"/>
    <x v="0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x v="2"/>
    <x v="0"/>
    <s v="10+ yrs"/>
    <x v="0"/>
    <s v="Dissatisfied"/>
    <n v="62736"/>
  </r>
  <r>
    <n v="27"/>
    <x v="1"/>
    <s v="Travel_Rarely"/>
    <n v="1377"/>
    <x v="0"/>
    <n v="2"/>
    <n v="3"/>
    <s v="Life Sciences"/>
    <n v="437"/>
    <n v="4"/>
    <x v="1"/>
    <n v="74"/>
    <n v="3"/>
    <x v="0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  <x v="2"/>
    <x v="0"/>
    <s v="3-5 yrs"/>
    <x v="0"/>
    <s v="Satisfied"/>
    <n v="53736"/>
  </r>
  <r>
    <n v="31"/>
    <x v="1"/>
    <s v="Travel_Rarely"/>
    <n v="691"/>
    <x v="0"/>
    <n v="7"/>
    <n v="3"/>
    <s v="Marketing"/>
    <n v="438"/>
    <n v="4"/>
    <x v="1"/>
    <n v="73"/>
    <n v="3"/>
    <x v="0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  <x v="2"/>
    <x v="2"/>
    <s v="6-10 yrs"/>
    <x v="0"/>
    <s v="Very Satisfied"/>
    <n v="90564"/>
  </r>
  <r>
    <n v="32"/>
    <x v="1"/>
    <s v="Travel_Rarely"/>
    <n v="1018"/>
    <x v="1"/>
    <n v="2"/>
    <n v="4"/>
    <s v="Medical"/>
    <n v="439"/>
    <n v="1"/>
    <x v="0"/>
    <n v="74"/>
    <n v="4"/>
    <x v="0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  <x v="2"/>
    <x v="0"/>
    <s v="6-10 yrs"/>
    <x v="0"/>
    <s v="Very Satisfied"/>
    <n v="60660"/>
  </r>
  <r>
    <n v="28"/>
    <x v="0"/>
    <s v="Travel_Rarely"/>
    <n v="1157"/>
    <x v="1"/>
    <n v="2"/>
    <n v="4"/>
    <s v="Medical"/>
    <n v="440"/>
    <n v="1"/>
    <x v="1"/>
    <n v="84"/>
    <n v="1"/>
    <x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  <x v="2"/>
    <x v="0"/>
    <s v="3-5 yrs"/>
    <x v="0"/>
    <s v="Very Satisfied"/>
    <n v="41568"/>
  </r>
  <r>
    <n v="30"/>
    <x v="1"/>
    <s v="Travel_Rarely"/>
    <n v="1275"/>
    <x v="1"/>
    <n v="28"/>
    <n v="2"/>
    <s v="Medical"/>
    <n v="441"/>
    <n v="4"/>
    <x v="0"/>
    <n v="64"/>
    <n v="3"/>
    <x v="0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x v="2"/>
    <x v="0"/>
    <s v="6-10 yrs"/>
    <x v="0"/>
    <s v="Very Satisfied"/>
    <n v="69300"/>
  </r>
  <r>
    <n v="31"/>
    <x v="1"/>
    <s v="Travel_Frequently"/>
    <n v="798"/>
    <x v="1"/>
    <n v="7"/>
    <n v="2"/>
    <s v="Life Sciences"/>
    <n v="442"/>
    <n v="3"/>
    <x v="0"/>
    <n v="48"/>
    <n v="2"/>
    <x v="2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x v="2"/>
    <x v="2"/>
    <s v="6-10 yrs"/>
    <x v="1"/>
    <s v="Satisfied"/>
    <n v="107316"/>
  </r>
  <r>
    <n v="39"/>
    <x v="1"/>
    <s v="Travel_Frequently"/>
    <n v="672"/>
    <x v="1"/>
    <n v="7"/>
    <n v="2"/>
    <s v="Medical"/>
    <n v="444"/>
    <n v="3"/>
    <x v="1"/>
    <n v="54"/>
    <n v="2"/>
    <x v="4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x v="0"/>
    <x v="3"/>
    <s v="10+ yrs"/>
    <x v="0"/>
    <s v="Very Satisfied"/>
    <n v="231264"/>
  </r>
  <r>
    <n v="39"/>
    <x v="0"/>
    <s v="Travel_Rarely"/>
    <n v="1162"/>
    <x v="0"/>
    <n v="3"/>
    <n v="2"/>
    <s v="Medical"/>
    <n v="445"/>
    <n v="4"/>
    <x v="0"/>
    <n v="41"/>
    <n v="3"/>
    <x v="0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  <x v="0"/>
    <x v="0"/>
    <s v="0-2 yrs"/>
    <x v="0"/>
    <s v="Satisfied"/>
    <n v="62856"/>
  </r>
  <r>
    <n v="33"/>
    <x v="1"/>
    <s v="Travel_Frequently"/>
    <n v="508"/>
    <x v="0"/>
    <n v="10"/>
    <n v="3"/>
    <s v="Marketing"/>
    <n v="446"/>
    <n v="2"/>
    <x v="1"/>
    <n v="46"/>
    <n v="2"/>
    <x v="0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  <x v="2"/>
    <x v="0"/>
    <s v="6-10 yrs"/>
    <x v="0"/>
    <s v="Very Satisfied"/>
    <n v="56184"/>
  </r>
  <r>
    <n v="47"/>
    <x v="1"/>
    <s v="Travel_Rarely"/>
    <n v="1482"/>
    <x v="1"/>
    <n v="5"/>
    <n v="5"/>
    <s v="Life Sciences"/>
    <n v="447"/>
    <n v="4"/>
    <x v="1"/>
    <n v="42"/>
    <n v="3"/>
    <x v="4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x v="1"/>
    <x v="3"/>
    <s v="3-5 yrs"/>
    <x v="0"/>
    <s v="Satisfied"/>
    <n v="219600"/>
  </r>
  <r>
    <n v="43"/>
    <x v="1"/>
    <s v="Travel_Frequently"/>
    <n v="559"/>
    <x v="1"/>
    <n v="10"/>
    <n v="4"/>
    <s v="Life Sciences"/>
    <n v="448"/>
    <n v="3"/>
    <x v="0"/>
    <n v="82"/>
    <n v="2"/>
    <x v="0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  <x v="0"/>
    <x v="0"/>
    <s v="6-10 yrs"/>
    <x v="0"/>
    <s v="Satisfied"/>
    <n v="63084"/>
  </r>
  <r>
    <n v="27"/>
    <x v="1"/>
    <s v="Non-Travel"/>
    <n v="210"/>
    <x v="0"/>
    <n v="1"/>
    <n v="1"/>
    <s v="Marketing"/>
    <n v="449"/>
    <n v="3"/>
    <x v="1"/>
    <n v="73"/>
    <n v="3"/>
    <x v="0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  <x v="2"/>
    <x v="2"/>
    <s v="3-5 yrs"/>
    <x v="0"/>
    <s v="Dissatisfied"/>
    <n v="76188"/>
  </r>
  <r>
    <n v="54"/>
    <x v="1"/>
    <s v="Travel_Frequently"/>
    <n v="928"/>
    <x v="1"/>
    <n v="20"/>
    <n v="4"/>
    <s v="Life Sciences"/>
    <n v="450"/>
    <n v="4"/>
    <x v="0"/>
    <n v="31"/>
    <n v="3"/>
    <x v="0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  <x v="1"/>
    <x v="0"/>
    <s v="3-5 yrs"/>
    <x v="0"/>
    <s v="Satisfied"/>
    <n v="58428"/>
  </r>
  <r>
    <n v="43"/>
    <x v="1"/>
    <s v="Travel_Rarely"/>
    <n v="1001"/>
    <x v="1"/>
    <n v="7"/>
    <n v="3"/>
    <s v="Life Sciences"/>
    <n v="451"/>
    <n v="3"/>
    <x v="0"/>
    <n v="43"/>
    <n v="3"/>
    <x v="2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  <x v="0"/>
    <x v="2"/>
    <s v="0-2 yrs"/>
    <x v="0"/>
    <s v="Very Dissatisfied"/>
    <n v="119820"/>
  </r>
  <r>
    <n v="45"/>
    <x v="1"/>
    <s v="Travel_Rarely"/>
    <n v="549"/>
    <x v="1"/>
    <n v="8"/>
    <n v="4"/>
    <s v="Other"/>
    <n v="452"/>
    <n v="4"/>
    <x v="1"/>
    <n v="75"/>
    <n v="3"/>
    <x v="0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  <x v="0"/>
    <x v="0"/>
    <s v="6-10 yrs"/>
    <x v="0"/>
    <s v="Very Satisfied"/>
    <n v="44364"/>
  </r>
  <r>
    <n v="40"/>
    <x v="1"/>
    <s v="Travel_Rarely"/>
    <n v="1124"/>
    <x v="0"/>
    <n v="1"/>
    <n v="2"/>
    <s v="Medical"/>
    <n v="453"/>
    <n v="2"/>
    <x v="1"/>
    <n v="57"/>
    <n v="1"/>
    <x v="0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  <x v="0"/>
    <x v="2"/>
    <s v="3-5 yrs"/>
    <x v="1"/>
    <s v="Very Satisfied"/>
    <n v="89484"/>
  </r>
  <r>
    <n v="29"/>
    <x v="0"/>
    <s v="Travel_Rarely"/>
    <n v="318"/>
    <x v="1"/>
    <n v="8"/>
    <n v="4"/>
    <s v="Other"/>
    <n v="454"/>
    <n v="2"/>
    <x v="1"/>
    <n v="77"/>
    <n v="1"/>
    <x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  <x v="2"/>
    <x v="1"/>
    <s v="6-10 yrs"/>
    <x v="0"/>
    <s v="Very Dissatisfied"/>
    <n v="25428"/>
  </r>
  <r>
    <n v="29"/>
    <x v="1"/>
    <s v="Travel_Rarely"/>
    <n v="738"/>
    <x v="1"/>
    <n v="9"/>
    <n v="5"/>
    <s v="Other"/>
    <n v="455"/>
    <n v="2"/>
    <x v="1"/>
    <n v="30"/>
    <n v="2"/>
    <x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  <x v="2"/>
    <x v="0"/>
    <s v="3-5 yrs"/>
    <x v="0"/>
    <s v="Very Satisfied"/>
    <n v="47796"/>
  </r>
  <r>
    <n v="30"/>
    <x v="1"/>
    <s v="Travel_Rarely"/>
    <n v="570"/>
    <x v="0"/>
    <n v="5"/>
    <n v="3"/>
    <s v="Marketing"/>
    <n v="456"/>
    <n v="4"/>
    <x v="0"/>
    <n v="30"/>
    <n v="2"/>
    <x v="0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x v="2"/>
    <x v="2"/>
    <s v="6-10 yrs"/>
    <x v="0"/>
    <s v="Satisfied"/>
    <n v="73416"/>
  </r>
  <r>
    <n v="27"/>
    <x v="1"/>
    <s v="Travel_Rarely"/>
    <n v="1130"/>
    <x v="0"/>
    <n v="8"/>
    <n v="4"/>
    <s v="Marketing"/>
    <n v="458"/>
    <n v="2"/>
    <x v="0"/>
    <n v="56"/>
    <n v="3"/>
    <x v="0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  <x v="2"/>
    <x v="2"/>
    <s v="6-10 yrs"/>
    <x v="0"/>
    <s v="Dissatisfied"/>
    <n v="74568"/>
  </r>
  <r>
    <n v="37"/>
    <x v="1"/>
    <s v="Travel_Rarely"/>
    <n v="1192"/>
    <x v="1"/>
    <n v="5"/>
    <n v="2"/>
    <s v="Medical"/>
    <n v="460"/>
    <n v="4"/>
    <x v="1"/>
    <n v="61"/>
    <n v="3"/>
    <x v="0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  <x v="0"/>
    <x v="2"/>
    <s v="6-10 yrs"/>
    <x v="0"/>
    <s v="Very Satisfied"/>
    <n v="76164"/>
  </r>
  <r>
    <n v="38"/>
    <x v="1"/>
    <s v="Travel_Rarely"/>
    <n v="343"/>
    <x v="1"/>
    <n v="15"/>
    <n v="2"/>
    <s v="Life Sciences"/>
    <n v="461"/>
    <n v="3"/>
    <x v="1"/>
    <n v="92"/>
    <n v="2"/>
    <x v="2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x v="0"/>
    <x v="3"/>
    <s v="10+ yrs"/>
    <x v="0"/>
    <s v="Very Satisfied"/>
    <n v="138120"/>
  </r>
  <r>
    <n v="31"/>
    <x v="1"/>
    <s v="Travel_Rarely"/>
    <n v="1232"/>
    <x v="1"/>
    <n v="7"/>
    <n v="4"/>
    <s v="Medical"/>
    <n v="462"/>
    <n v="3"/>
    <x v="0"/>
    <n v="39"/>
    <n v="3"/>
    <x v="2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x v="2"/>
    <x v="2"/>
    <s v="10+ yrs"/>
    <x v="0"/>
    <s v="Very Satisfied"/>
    <n v="85716"/>
  </r>
  <r>
    <n v="29"/>
    <x v="1"/>
    <s v="Travel_Rarely"/>
    <n v="144"/>
    <x v="0"/>
    <n v="10"/>
    <n v="1"/>
    <s v="Marketing"/>
    <n v="463"/>
    <n v="4"/>
    <x v="0"/>
    <n v="39"/>
    <n v="2"/>
    <x v="0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  <x v="2"/>
    <x v="2"/>
    <s v="6-10 yrs"/>
    <x v="0"/>
    <s v="Dissatisfied"/>
    <n v="99216"/>
  </r>
  <r>
    <n v="35"/>
    <x v="1"/>
    <s v="Travel_Rarely"/>
    <n v="1296"/>
    <x v="1"/>
    <n v="5"/>
    <n v="4"/>
    <s v="Technical Degree"/>
    <n v="464"/>
    <n v="3"/>
    <x v="1"/>
    <n v="62"/>
    <n v="3"/>
    <x v="2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x v="2"/>
    <x v="2"/>
    <s v="10+ yrs"/>
    <x v="0"/>
    <s v="Dissatisfied"/>
    <n v="97140"/>
  </r>
  <r>
    <n v="23"/>
    <x v="1"/>
    <s v="Travel_Rarely"/>
    <n v="1309"/>
    <x v="1"/>
    <n v="26"/>
    <n v="1"/>
    <s v="Life Sciences"/>
    <n v="465"/>
    <n v="3"/>
    <x v="1"/>
    <n v="83"/>
    <n v="3"/>
    <x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  <x v="3"/>
    <x v="1"/>
    <s v="3-5 yrs"/>
    <x v="0"/>
    <s v="Very Satisfied"/>
    <n v="34848"/>
  </r>
  <r>
    <n v="41"/>
    <x v="1"/>
    <s v="Travel_Rarely"/>
    <n v="483"/>
    <x v="1"/>
    <n v="6"/>
    <n v="3"/>
    <s v="Medical"/>
    <n v="466"/>
    <n v="4"/>
    <x v="1"/>
    <n v="95"/>
    <n v="2"/>
    <x v="0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  <x v="0"/>
    <x v="2"/>
    <s v="3-5 yrs"/>
    <x v="0"/>
    <s v="Dissatisfied"/>
    <n v="72384"/>
  </r>
  <r>
    <n v="47"/>
    <x v="1"/>
    <s v="Travel_Frequently"/>
    <n v="1309"/>
    <x v="0"/>
    <n v="4"/>
    <n v="1"/>
    <s v="Medical"/>
    <n v="467"/>
    <n v="2"/>
    <x v="1"/>
    <n v="99"/>
    <n v="3"/>
    <x v="0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  <x v="1"/>
    <x v="1"/>
    <s v="0-2 yrs"/>
    <x v="0"/>
    <s v="Satisfied"/>
    <n v="35712"/>
  </r>
  <r>
    <n v="42"/>
    <x v="1"/>
    <s v="Travel_Rarely"/>
    <n v="810"/>
    <x v="1"/>
    <n v="23"/>
    <n v="5"/>
    <s v="Life Sciences"/>
    <n v="468"/>
    <n v="1"/>
    <x v="0"/>
    <n v="44"/>
    <n v="3"/>
    <x v="3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  <x v="0"/>
    <x v="3"/>
    <s v="0-2 yrs"/>
    <x v="0"/>
    <s v="Very Satisfied"/>
    <n v="191904"/>
  </r>
  <r>
    <n v="29"/>
    <x v="1"/>
    <s v="Non-Travel"/>
    <n v="746"/>
    <x v="0"/>
    <n v="2"/>
    <n v="3"/>
    <s v="Life Sciences"/>
    <n v="469"/>
    <n v="4"/>
    <x v="1"/>
    <n v="61"/>
    <n v="3"/>
    <x v="0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  <x v="2"/>
    <x v="0"/>
    <s v="3-5 yrs"/>
    <x v="0"/>
    <s v="Satisfied"/>
    <n v="55788"/>
  </r>
  <r>
    <n v="42"/>
    <x v="1"/>
    <s v="Travel_Rarely"/>
    <n v="544"/>
    <x v="2"/>
    <n v="2"/>
    <n v="1"/>
    <s v="Technical Degree"/>
    <n v="470"/>
    <n v="3"/>
    <x v="1"/>
    <n v="52"/>
    <n v="3"/>
    <x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  <x v="0"/>
    <x v="1"/>
    <s v="3-5 yrs"/>
    <x v="0"/>
    <s v="Satisfied"/>
    <n v="32352"/>
  </r>
  <r>
    <n v="32"/>
    <x v="1"/>
    <s v="Travel_Rarely"/>
    <n v="1062"/>
    <x v="1"/>
    <n v="2"/>
    <n v="3"/>
    <s v="Medical"/>
    <n v="471"/>
    <n v="3"/>
    <x v="0"/>
    <n v="75"/>
    <n v="3"/>
    <x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  <x v="2"/>
    <x v="1"/>
    <s v="6-10 yrs"/>
    <x v="0"/>
    <s v="Dissatisfied"/>
    <n v="28440"/>
  </r>
  <r>
    <n v="48"/>
    <x v="1"/>
    <s v="Travel_Rarely"/>
    <n v="530"/>
    <x v="0"/>
    <n v="29"/>
    <n v="1"/>
    <s v="Medical"/>
    <n v="473"/>
    <n v="1"/>
    <x v="0"/>
    <n v="91"/>
    <n v="3"/>
    <x v="2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x v="1"/>
    <x v="3"/>
    <s v="0-2 yrs"/>
    <x v="1"/>
    <s v="Satisfied"/>
    <n v="150048"/>
  </r>
  <r>
    <n v="37"/>
    <x v="1"/>
    <s v="Travel_Rarely"/>
    <n v="1319"/>
    <x v="1"/>
    <n v="6"/>
    <n v="3"/>
    <s v="Medical"/>
    <n v="474"/>
    <n v="3"/>
    <x v="1"/>
    <n v="51"/>
    <n v="4"/>
    <x v="0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x v="0"/>
    <x v="0"/>
    <s v="6-10 yrs"/>
    <x v="0"/>
    <s v="Very Dissatisfied"/>
    <n v="71688"/>
  </r>
  <r>
    <n v="30"/>
    <x v="1"/>
    <s v="Non-Travel"/>
    <n v="641"/>
    <x v="0"/>
    <n v="25"/>
    <n v="2"/>
    <s v="Technical Degree"/>
    <n v="475"/>
    <n v="4"/>
    <x v="0"/>
    <n v="85"/>
    <n v="3"/>
    <x v="0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  <x v="2"/>
    <x v="0"/>
    <s v="0-2 yrs"/>
    <x v="0"/>
    <s v="Satisfied"/>
    <n v="56832"/>
  </r>
  <r>
    <n v="26"/>
    <x v="1"/>
    <s v="Travel_Rarely"/>
    <n v="933"/>
    <x v="0"/>
    <n v="1"/>
    <n v="3"/>
    <s v="Life Sciences"/>
    <n v="476"/>
    <n v="3"/>
    <x v="1"/>
    <n v="57"/>
    <n v="3"/>
    <x v="0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  <x v="2"/>
    <x v="0"/>
    <s v="6-10 yrs"/>
    <x v="0"/>
    <s v="Satisfied"/>
    <n v="63552"/>
  </r>
  <r>
    <n v="42"/>
    <x v="1"/>
    <s v="Travel_Rarely"/>
    <n v="1332"/>
    <x v="1"/>
    <n v="2"/>
    <n v="4"/>
    <s v="Other"/>
    <n v="477"/>
    <n v="1"/>
    <x v="1"/>
    <n v="98"/>
    <n v="2"/>
    <x v="0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  <x v="0"/>
    <x v="2"/>
    <s v="0-2 yrs"/>
    <x v="1"/>
    <s v="Very Satisfied"/>
    <n v="81372"/>
  </r>
  <r>
    <n v="21"/>
    <x v="0"/>
    <s v="Travel_Frequently"/>
    <n v="756"/>
    <x v="0"/>
    <n v="1"/>
    <n v="1"/>
    <s v="Technical Degree"/>
    <n v="478"/>
    <n v="1"/>
    <x v="0"/>
    <n v="99"/>
    <n v="2"/>
    <x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  <x v="3"/>
    <x v="1"/>
    <s v="3-5 yrs"/>
    <x v="0"/>
    <s v="Dissatisfied"/>
    <n v="26088"/>
  </r>
  <r>
    <n v="36"/>
    <x v="1"/>
    <s v="Non-Travel"/>
    <n v="845"/>
    <x v="0"/>
    <n v="1"/>
    <n v="5"/>
    <s v="Medical"/>
    <n v="479"/>
    <n v="4"/>
    <x v="0"/>
    <n v="45"/>
    <n v="3"/>
    <x v="0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  <x v="0"/>
    <x v="2"/>
    <s v="0-2 yrs"/>
    <x v="0"/>
    <s v="Very Satisfied"/>
    <n v="79836"/>
  </r>
  <r>
    <n v="36"/>
    <x v="1"/>
    <s v="Travel_Frequently"/>
    <n v="541"/>
    <x v="0"/>
    <n v="3"/>
    <n v="4"/>
    <s v="Medical"/>
    <n v="481"/>
    <n v="1"/>
    <x v="1"/>
    <n v="48"/>
    <n v="2"/>
    <x v="2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x v="0"/>
    <x v="2"/>
    <s v="10+ yrs"/>
    <x v="0"/>
    <s v="Very Satisfied"/>
    <n v="116388"/>
  </r>
  <r>
    <n v="57"/>
    <x v="1"/>
    <s v="Travel_Rarely"/>
    <n v="593"/>
    <x v="1"/>
    <n v="1"/>
    <n v="4"/>
    <s v="Medical"/>
    <n v="482"/>
    <n v="4"/>
    <x v="1"/>
    <n v="88"/>
    <n v="3"/>
    <x v="0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  <x v="1"/>
    <x v="2"/>
    <s v="3-5 yrs"/>
    <x v="0"/>
    <s v="Satisfied"/>
    <n v="81060"/>
  </r>
  <r>
    <n v="40"/>
    <x v="1"/>
    <s v="Travel_Rarely"/>
    <n v="1171"/>
    <x v="1"/>
    <n v="10"/>
    <n v="4"/>
    <s v="Life Sciences"/>
    <n v="483"/>
    <n v="4"/>
    <x v="0"/>
    <n v="46"/>
    <n v="4"/>
    <x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  <x v="0"/>
    <x v="1"/>
    <s v="6-10 yrs"/>
    <x v="0"/>
    <s v="Satisfied"/>
    <n v="26556"/>
  </r>
  <r>
    <n v="21"/>
    <x v="1"/>
    <s v="Non-Travel"/>
    <n v="895"/>
    <x v="0"/>
    <n v="9"/>
    <n v="2"/>
    <s v="Medical"/>
    <n v="484"/>
    <n v="1"/>
    <x v="1"/>
    <n v="39"/>
    <n v="3"/>
    <x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  <x v="3"/>
    <x v="1"/>
    <s v="3-5 yrs"/>
    <x v="1"/>
    <s v="Very Satisfied"/>
    <n v="31320"/>
  </r>
  <r>
    <n v="33"/>
    <x v="0"/>
    <s v="Travel_Rarely"/>
    <n v="350"/>
    <x v="0"/>
    <n v="5"/>
    <n v="3"/>
    <s v="Marketing"/>
    <n v="485"/>
    <n v="4"/>
    <x v="0"/>
    <n v="34"/>
    <n v="3"/>
    <x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  <x v="2"/>
    <x v="1"/>
    <s v="0-2 yrs"/>
    <x v="0"/>
    <s v="Satisfied"/>
    <n v="34212"/>
  </r>
  <r>
    <n v="37"/>
    <x v="1"/>
    <s v="Travel_Rarely"/>
    <n v="921"/>
    <x v="1"/>
    <n v="10"/>
    <n v="3"/>
    <s v="Medical"/>
    <n v="486"/>
    <n v="3"/>
    <x v="0"/>
    <n v="98"/>
    <n v="3"/>
    <x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  <x v="0"/>
    <x v="0"/>
    <s v="3-5 yrs"/>
    <x v="1"/>
    <s v="Very Dissatisfied"/>
    <n v="41424"/>
  </r>
  <r>
    <n v="46"/>
    <x v="1"/>
    <s v="Non-Travel"/>
    <n v="1144"/>
    <x v="1"/>
    <n v="7"/>
    <n v="4"/>
    <s v="Medical"/>
    <n v="487"/>
    <n v="3"/>
    <x v="0"/>
    <n v="30"/>
    <n v="3"/>
    <x v="0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  <x v="1"/>
    <x v="0"/>
    <s v="0-2 yrs"/>
    <x v="0"/>
    <s v="Satisfied"/>
    <n v="63096"/>
  </r>
  <r>
    <n v="41"/>
    <x v="0"/>
    <s v="Travel_Frequently"/>
    <n v="143"/>
    <x v="0"/>
    <n v="4"/>
    <n v="3"/>
    <s v="Marketing"/>
    <n v="488"/>
    <n v="1"/>
    <x v="1"/>
    <n v="56"/>
    <n v="3"/>
    <x v="0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  <x v="0"/>
    <x v="2"/>
    <s v="6-10 yrs"/>
    <x v="0"/>
    <s v="Dissatisfied"/>
    <n v="112260"/>
  </r>
  <r>
    <n v="50"/>
    <x v="1"/>
    <s v="Travel_Rarely"/>
    <n v="1046"/>
    <x v="1"/>
    <n v="10"/>
    <n v="3"/>
    <s v="Technical Degree"/>
    <n v="491"/>
    <n v="4"/>
    <x v="1"/>
    <n v="100"/>
    <n v="2"/>
    <x v="2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  <x v="1"/>
    <x v="3"/>
    <s v="3-5 yrs"/>
    <x v="0"/>
    <s v="Very Satisfied"/>
    <n v="125952"/>
  </r>
  <r>
    <n v="40"/>
    <x v="0"/>
    <s v="Travel_Rarely"/>
    <n v="575"/>
    <x v="0"/>
    <n v="22"/>
    <n v="2"/>
    <s v="Marketing"/>
    <n v="492"/>
    <n v="3"/>
    <x v="1"/>
    <n v="68"/>
    <n v="2"/>
    <x v="0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  <x v="0"/>
    <x v="2"/>
    <s v="6-10 yrs"/>
    <x v="0"/>
    <s v="Satisfied"/>
    <n v="76560"/>
  </r>
  <r>
    <n v="31"/>
    <x v="1"/>
    <s v="Travel_Rarely"/>
    <n v="408"/>
    <x v="1"/>
    <n v="9"/>
    <n v="4"/>
    <s v="Life Sciences"/>
    <n v="493"/>
    <n v="3"/>
    <x v="1"/>
    <n v="42"/>
    <n v="2"/>
    <x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  <x v="2"/>
    <x v="1"/>
    <s v="0-2 yrs"/>
    <x v="0"/>
    <s v="Dissatisfied"/>
    <n v="31884"/>
  </r>
  <r>
    <n v="21"/>
    <x v="0"/>
    <s v="Travel_Rarely"/>
    <n v="156"/>
    <x v="0"/>
    <n v="12"/>
    <n v="3"/>
    <s v="Life Sciences"/>
    <n v="494"/>
    <n v="3"/>
    <x v="0"/>
    <n v="90"/>
    <n v="4"/>
    <x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  <x v="3"/>
    <x v="1"/>
    <s v="0-2 yrs"/>
    <x v="0"/>
    <s v="Dissatisfied"/>
    <n v="32592"/>
  </r>
  <r>
    <n v="29"/>
    <x v="1"/>
    <s v="Travel_Rarely"/>
    <n v="1283"/>
    <x v="1"/>
    <n v="23"/>
    <n v="3"/>
    <s v="Life Sciences"/>
    <n v="495"/>
    <n v="4"/>
    <x v="1"/>
    <n v="54"/>
    <n v="3"/>
    <x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  <x v="2"/>
    <x v="1"/>
    <s v="3-5 yrs"/>
    <x v="0"/>
    <s v="Very Satisfied"/>
    <n v="26412"/>
  </r>
  <r>
    <n v="35"/>
    <x v="1"/>
    <s v="Travel_Rarely"/>
    <n v="755"/>
    <x v="1"/>
    <n v="9"/>
    <n v="4"/>
    <s v="Life Sciences"/>
    <n v="496"/>
    <n v="3"/>
    <x v="1"/>
    <n v="97"/>
    <n v="2"/>
    <x v="0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  <x v="2"/>
    <x v="2"/>
    <s v="0-2 yrs"/>
    <x v="0"/>
    <s v="Dissatisfied"/>
    <n v="78480"/>
  </r>
  <r>
    <n v="27"/>
    <x v="1"/>
    <s v="Travel_Rarely"/>
    <n v="1469"/>
    <x v="1"/>
    <n v="1"/>
    <n v="2"/>
    <s v="Medical"/>
    <n v="497"/>
    <n v="4"/>
    <x v="1"/>
    <n v="82"/>
    <n v="3"/>
    <x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  <x v="2"/>
    <x v="0"/>
    <s v="3-5 yrs"/>
    <x v="0"/>
    <s v="Dissatisfied"/>
    <n v="45792"/>
  </r>
  <r>
    <n v="28"/>
    <x v="1"/>
    <s v="Travel_Rarely"/>
    <n v="304"/>
    <x v="0"/>
    <n v="9"/>
    <n v="4"/>
    <s v="Life Sciences"/>
    <n v="498"/>
    <n v="2"/>
    <x v="1"/>
    <n v="92"/>
    <n v="3"/>
    <x v="0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  <x v="2"/>
    <x v="0"/>
    <s v="6-10 yrs"/>
    <x v="0"/>
    <s v="Very Satisfied"/>
    <n v="63036"/>
  </r>
  <r>
    <n v="49"/>
    <x v="1"/>
    <s v="Travel_Rarely"/>
    <n v="1261"/>
    <x v="1"/>
    <n v="7"/>
    <n v="3"/>
    <s v="Other"/>
    <n v="499"/>
    <n v="2"/>
    <x v="1"/>
    <n v="31"/>
    <n v="2"/>
    <x v="2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  <x v="1"/>
    <x v="3"/>
    <s v="3-5 yrs"/>
    <x v="1"/>
    <s v="Satisfied"/>
    <n v="131580"/>
  </r>
  <r>
    <n v="51"/>
    <x v="1"/>
    <s v="Travel_Rarely"/>
    <n v="1178"/>
    <x v="0"/>
    <n v="14"/>
    <n v="2"/>
    <s v="Life Sciences"/>
    <n v="500"/>
    <n v="3"/>
    <x v="0"/>
    <n v="87"/>
    <n v="3"/>
    <x v="0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  <x v="1"/>
    <x v="0"/>
    <s v="6-10 yrs"/>
    <x v="0"/>
    <s v="Very Satisfied"/>
    <n v="59232"/>
  </r>
  <r>
    <n v="36"/>
    <x v="1"/>
    <s v="Travel_Rarely"/>
    <n v="329"/>
    <x v="1"/>
    <n v="2"/>
    <n v="3"/>
    <s v="Life Sciences"/>
    <n v="501"/>
    <n v="4"/>
    <x v="0"/>
    <n v="96"/>
    <n v="3"/>
    <x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  <x v="0"/>
    <x v="1"/>
    <s v="0-2 yrs"/>
    <x v="0"/>
    <s v="Satisfied"/>
    <n v="30516"/>
  </r>
  <r>
    <n v="34"/>
    <x v="0"/>
    <s v="Non-Travel"/>
    <n v="1362"/>
    <x v="0"/>
    <n v="19"/>
    <n v="3"/>
    <s v="Marketing"/>
    <n v="502"/>
    <n v="1"/>
    <x v="1"/>
    <n v="67"/>
    <n v="4"/>
    <x v="0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  <x v="2"/>
    <x v="0"/>
    <s v="3-5 yrs"/>
    <x v="0"/>
    <s v="Very Satisfied"/>
    <n v="63648"/>
  </r>
  <r>
    <n v="55"/>
    <x v="1"/>
    <s v="Travel_Rarely"/>
    <n v="1311"/>
    <x v="1"/>
    <n v="2"/>
    <n v="3"/>
    <s v="Life Sciences"/>
    <n v="505"/>
    <n v="3"/>
    <x v="0"/>
    <n v="97"/>
    <n v="3"/>
    <x v="3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  <x v="1"/>
    <x v="3"/>
    <s v="3-5 yrs"/>
    <x v="0"/>
    <s v="Very Satisfied"/>
    <n v="199908"/>
  </r>
  <r>
    <n v="24"/>
    <x v="1"/>
    <s v="Travel_Rarely"/>
    <n v="1371"/>
    <x v="0"/>
    <n v="10"/>
    <n v="4"/>
    <s v="Marketing"/>
    <n v="507"/>
    <n v="4"/>
    <x v="0"/>
    <n v="77"/>
    <n v="3"/>
    <x v="0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  <x v="3"/>
    <x v="0"/>
    <s v="3-5 yrs"/>
    <x v="0"/>
    <s v="Satisfied"/>
    <n v="51120"/>
  </r>
  <r>
    <n v="30"/>
    <x v="1"/>
    <s v="Travel_Rarely"/>
    <n v="202"/>
    <x v="0"/>
    <n v="2"/>
    <n v="1"/>
    <s v="Technical Degree"/>
    <n v="508"/>
    <n v="3"/>
    <x v="1"/>
    <n v="72"/>
    <n v="3"/>
    <x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  <x v="2"/>
    <x v="1"/>
    <s v="0-2 yrs"/>
    <x v="0"/>
    <s v="Dissatisfied"/>
    <n v="29712"/>
  </r>
  <r>
    <n v="26"/>
    <x v="0"/>
    <s v="Travel_Frequently"/>
    <n v="575"/>
    <x v="1"/>
    <n v="3"/>
    <n v="1"/>
    <s v="Technical Degree"/>
    <n v="510"/>
    <n v="3"/>
    <x v="1"/>
    <n v="73"/>
    <n v="3"/>
    <x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  <x v="2"/>
    <x v="0"/>
    <s v="6-10 yrs"/>
    <x v="1"/>
    <s v="Very Dissatisfied"/>
    <n v="37224"/>
  </r>
  <r>
    <n v="22"/>
    <x v="1"/>
    <s v="Travel_Rarely"/>
    <n v="253"/>
    <x v="1"/>
    <n v="11"/>
    <n v="3"/>
    <s v="Medical"/>
    <n v="511"/>
    <n v="1"/>
    <x v="0"/>
    <n v="43"/>
    <n v="3"/>
    <x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  <x v="3"/>
    <x v="1"/>
    <s v="0-2 yrs"/>
    <x v="0"/>
    <s v="Dissatisfied"/>
    <n v="26928"/>
  </r>
  <r>
    <n v="36"/>
    <x v="1"/>
    <s v="Travel_Rarely"/>
    <n v="164"/>
    <x v="0"/>
    <n v="2"/>
    <n v="2"/>
    <s v="Medical"/>
    <n v="513"/>
    <n v="2"/>
    <x v="1"/>
    <n v="61"/>
    <n v="2"/>
    <x v="2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  <x v="0"/>
    <x v="2"/>
    <s v="6-10 yrs"/>
    <x v="0"/>
    <s v="Satisfied"/>
    <n v="91152"/>
  </r>
  <r>
    <n v="30"/>
    <x v="0"/>
    <s v="Travel_Frequently"/>
    <n v="464"/>
    <x v="1"/>
    <n v="4"/>
    <n v="3"/>
    <s v="Technical Degree"/>
    <n v="514"/>
    <n v="3"/>
    <x v="1"/>
    <n v="40"/>
    <n v="3"/>
    <x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  <x v="2"/>
    <x v="1"/>
    <s v="0-2 yrs"/>
    <x v="1"/>
    <s v="Very Satisfied"/>
    <n v="27420"/>
  </r>
  <r>
    <n v="37"/>
    <x v="1"/>
    <s v="Travel_Rarely"/>
    <n v="1107"/>
    <x v="1"/>
    <n v="14"/>
    <n v="3"/>
    <s v="Life Sciences"/>
    <n v="515"/>
    <n v="4"/>
    <x v="0"/>
    <n v="95"/>
    <n v="3"/>
    <x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x v="0"/>
    <x v="0"/>
    <s v="10+ yrs"/>
    <x v="0"/>
    <s v="Very Dissatisfied"/>
    <n v="36408"/>
  </r>
  <r>
    <n v="40"/>
    <x v="1"/>
    <s v="Travel_Rarely"/>
    <n v="759"/>
    <x v="0"/>
    <n v="2"/>
    <n v="2"/>
    <s v="Marketing"/>
    <n v="516"/>
    <n v="4"/>
    <x v="0"/>
    <n v="46"/>
    <n v="3"/>
    <x v="0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  <x v="0"/>
    <x v="0"/>
    <s v="3-5 yrs"/>
    <x v="0"/>
    <s v="Dissatisfied"/>
    <n v="68580"/>
  </r>
  <r>
    <n v="42"/>
    <x v="1"/>
    <s v="Travel_Rarely"/>
    <n v="201"/>
    <x v="1"/>
    <n v="1"/>
    <n v="4"/>
    <s v="Life Sciences"/>
    <n v="517"/>
    <n v="2"/>
    <x v="0"/>
    <n v="95"/>
    <n v="3"/>
    <x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  <x v="0"/>
    <x v="1"/>
    <s v="3-5 yrs"/>
    <x v="0"/>
    <s v="Very Dissatisfied"/>
    <n v="30912"/>
  </r>
  <r>
    <n v="37"/>
    <x v="1"/>
    <s v="Travel_Rarely"/>
    <n v="1305"/>
    <x v="1"/>
    <n v="10"/>
    <n v="4"/>
    <s v="Life Sciences"/>
    <n v="518"/>
    <n v="3"/>
    <x v="1"/>
    <n v="49"/>
    <n v="3"/>
    <x v="0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  <x v="0"/>
    <x v="0"/>
    <s v="0-2 yrs"/>
    <x v="0"/>
    <s v="Dissatisfied"/>
    <n v="50364"/>
  </r>
  <r>
    <n v="43"/>
    <x v="1"/>
    <s v="Travel_Rarely"/>
    <n v="982"/>
    <x v="1"/>
    <n v="12"/>
    <n v="3"/>
    <s v="Life Sciences"/>
    <n v="520"/>
    <n v="1"/>
    <x v="1"/>
    <n v="59"/>
    <n v="2"/>
    <x v="3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x v="0"/>
    <x v="3"/>
    <s v="10+ yrs"/>
    <x v="0"/>
    <s v="Dissatisfied"/>
    <n v="172032"/>
  </r>
  <r>
    <n v="40"/>
    <x v="1"/>
    <s v="Travel_Rarely"/>
    <n v="555"/>
    <x v="1"/>
    <n v="2"/>
    <n v="3"/>
    <s v="Medical"/>
    <n v="521"/>
    <n v="2"/>
    <x v="0"/>
    <n v="78"/>
    <n v="2"/>
    <x v="0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  <x v="0"/>
    <x v="0"/>
    <s v="0-2 yrs"/>
    <x v="1"/>
    <s v="Satisfied"/>
    <n v="41376"/>
  </r>
  <r>
    <n v="54"/>
    <x v="1"/>
    <s v="Travel_Rarely"/>
    <n v="821"/>
    <x v="1"/>
    <n v="5"/>
    <n v="2"/>
    <s v="Medical"/>
    <n v="522"/>
    <n v="1"/>
    <x v="1"/>
    <n v="86"/>
    <n v="3"/>
    <x v="4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  <x v="1"/>
    <x v="3"/>
    <s v="3-5 yrs"/>
    <x v="0"/>
    <s v="Very Dissatisfied"/>
    <n v="232872"/>
  </r>
  <r>
    <n v="34"/>
    <x v="1"/>
    <s v="Non-Travel"/>
    <n v="1381"/>
    <x v="0"/>
    <n v="4"/>
    <n v="4"/>
    <s v="Marketing"/>
    <n v="523"/>
    <n v="3"/>
    <x v="0"/>
    <n v="72"/>
    <n v="3"/>
    <x v="0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  <x v="2"/>
    <x v="2"/>
    <s v="3-5 yrs"/>
    <x v="0"/>
    <s v="Satisfied"/>
    <n v="78456"/>
  </r>
  <r>
    <n v="31"/>
    <x v="1"/>
    <s v="Travel_Rarely"/>
    <n v="480"/>
    <x v="1"/>
    <n v="7"/>
    <n v="2"/>
    <s v="Medical"/>
    <n v="524"/>
    <n v="2"/>
    <x v="0"/>
    <n v="31"/>
    <n v="3"/>
    <x v="0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x v="2"/>
    <x v="0"/>
    <s v="10+ yrs"/>
    <x v="0"/>
    <s v="Very Dissatisfied"/>
    <n v="51672"/>
  </r>
  <r>
    <n v="43"/>
    <x v="1"/>
    <s v="Travel_Frequently"/>
    <n v="313"/>
    <x v="1"/>
    <n v="21"/>
    <n v="3"/>
    <s v="Medical"/>
    <n v="525"/>
    <n v="4"/>
    <x v="1"/>
    <n v="61"/>
    <n v="3"/>
    <x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  <x v="0"/>
    <x v="1"/>
    <s v="3-5 yrs"/>
    <x v="1"/>
    <s v="Very Satisfied"/>
    <n v="27096"/>
  </r>
  <r>
    <n v="43"/>
    <x v="1"/>
    <s v="Travel_Rarely"/>
    <n v="1473"/>
    <x v="1"/>
    <n v="8"/>
    <n v="4"/>
    <s v="Other"/>
    <n v="526"/>
    <n v="3"/>
    <x v="0"/>
    <n v="74"/>
    <n v="3"/>
    <x v="0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  <x v="0"/>
    <x v="0"/>
    <s v="3-5 yrs"/>
    <x v="0"/>
    <s v="Satisfied"/>
    <n v="54264"/>
  </r>
  <r>
    <n v="25"/>
    <x v="1"/>
    <s v="Travel_Rarely"/>
    <n v="891"/>
    <x v="0"/>
    <n v="4"/>
    <n v="2"/>
    <s v="Life Sciences"/>
    <n v="527"/>
    <n v="2"/>
    <x v="0"/>
    <n v="99"/>
    <n v="2"/>
    <x v="0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  <x v="3"/>
    <x v="0"/>
    <s v="3-5 yrs"/>
    <x v="0"/>
    <s v="Very Satisfied"/>
    <n v="53844"/>
  </r>
  <r>
    <n v="37"/>
    <x v="1"/>
    <s v="Non-Travel"/>
    <n v="1063"/>
    <x v="1"/>
    <n v="25"/>
    <n v="5"/>
    <s v="Medical"/>
    <n v="529"/>
    <n v="2"/>
    <x v="0"/>
    <n v="72"/>
    <n v="3"/>
    <x v="0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x v="0"/>
    <x v="0"/>
    <s v="10+ yrs"/>
    <x v="0"/>
    <s v="Satisfied"/>
    <n v="53388"/>
  </r>
  <r>
    <n v="31"/>
    <x v="1"/>
    <s v="Travel_Rarely"/>
    <n v="329"/>
    <x v="1"/>
    <n v="1"/>
    <n v="2"/>
    <s v="Life Sciences"/>
    <n v="530"/>
    <n v="4"/>
    <x v="1"/>
    <n v="98"/>
    <n v="2"/>
    <x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  <x v="2"/>
    <x v="1"/>
    <s v="3-5 yrs"/>
    <x v="0"/>
    <s v="Very Dissatisfied"/>
    <n v="26616"/>
  </r>
  <r>
    <n v="39"/>
    <x v="1"/>
    <s v="Travel_Frequently"/>
    <n v="1218"/>
    <x v="1"/>
    <n v="1"/>
    <n v="1"/>
    <s v="Life Sciences"/>
    <n v="531"/>
    <n v="2"/>
    <x v="1"/>
    <n v="52"/>
    <n v="3"/>
    <x v="4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x v="0"/>
    <x v="3"/>
    <s v="10+ yrs"/>
    <x v="0"/>
    <s v="Satisfied"/>
    <n v="230364"/>
  </r>
  <r>
    <n v="56"/>
    <x v="1"/>
    <s v="Travel_Frequently"/>
    <n v="906"/>
    <x v="0"/>
    <n v="6"/>
    <n v="3"/>
    <s v="Life Sciences"/>
    <n v="532"/>
    <n v="3"/>
    <x v="0"/>
    <n v="86"/>
    <n v="4"/>
    <x v="3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x v="1"/>
    <x v="3"/>
    <s v="6-10 yrs"/>
    <x v="0"/>
    <s v="Very Dissatisfied"/>
    <n v="158544"/>
  </r>
  <r>
    <n v="30"/>
    <x v="1"/>
    <s v="Travel_Rarely"/>
    <n v="1082"/>
    <x v="0"/>
    <n v="12"/>
    <n v="3"/>
    <s v="Technical Degree"/>
    <n v="533"/>
    <n v="2"/>
    <x v="0"/>
    <n v="83"/>
    <n v="3"/>
    <x v="0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  <x v="2"/>
    <x v="2"/>
    <s v="3-5 yrs"/>
    <x v="0"/>
    <s v="Satisfied"/>
    <n v="78924"/>
  </r>
  <r>
    <n v="41"/>
    <x v="1"/>
    <s v="Travel_Rarely"/>
    <n v="645"/>
    <x v="0"/>
    <n v="1"/>
    <n v="3"/>
    <s v="Marketing"/>
    <n v="534"/>
    <n v="2"/>
    <x v="1"/>
    <n v="49"/>
    <n v="4"/>
    <x v="2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x v="0"/>
    <x v="2"/>
    <s v="6-10 yrs"/>
    <x v="0"/>
    <s v="Very Dissatisfied"/>
    <n v="100704"/>
  </r>
  <r>
    <n v="28"/>
    <x v="1"/>
    <s v="Travel_Rarely"/>
    <n v="1300"/>
    <x v="1"/>
    <n v="17"/>
    <n v="2"/>
    <s v="Medical"/>
    <n v="536"/>
    <n v="3"/>
    <x v="1"/>
    <n v="79"/>
    <n v="3"/>
    <x v="0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x v="2"/>
    <x v="0"/>
    <s v="6-10 yrs"/>
    <x v="0"/>
    <s v="Very Dissatisfied"/>
    <n v="54696"/>
  </r>
  <r>
    <n v="25"/>
    <x v="0"/>
    <s v="Travel_Rarely"/>
    <n v="688"/>
    <x v="1"/>
    <n v="3"/>
    <n v="3"/>
    <s v="Medical"/>
    <n v="538"/>
    <n v="1"/>
    <x v="1"/>
    <n v="91"/>
    <n v="3"/>
    <x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  <x v="3"/>
    <x v="0"/>
    <s v="0-2 yrs"/>
    <x v="0"/>
    <s v="Very Dissatisfied"/>
    <n v="48372"/>
  </r>
  <r>
    <n v="52"/>
    <x v="1"/>
    <s v="Travel_Rarely"/>
    <n v="319"/>
    <x v="1"/>
    <n v="3"/>
    <n v="3"/>
    <s v="Medical"/>
    <n v="543"/>
    <n v="4"/>
    <x v="1"/>
    <n v="39"/>
    <n v="2"/>
    <x v="2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  <x v="1"/>
    <x v="2"/>
    <s v="3-5 yrs"/>
    <x v="0"/>
    <s v="Satisfied"/>
    <n v="95628"/>
  </r>
  <r>
    <n v="45"/>
    <x v="1"/>
    <s v="Travel_Rarely"/>
    <n v="192"/>
    <x v="1"/>
    <n v="10"/>
    <n v="2"/>
    <s v="Life Sciences"/>
    <n v="544"/>
    <n v="1"/>
    <x v="1"/>
    <n v="69"/>
    <n v="3"/>
    <x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  <x v="0"/>
    <x v="1"/>
    <s v="0-2 yrs"/>
    <x v="1"/>
    <s v="Very Satisfied"/>
    <n v="31848"/>
  </r>
  <r>
    <n v="52"/>
    <x v="1"/>
    <s v="Travel_Rarely"/>
    <n v="1490"/>
    <x v="1"/>
    <n v="4"/>
    <n v="2"/>
    <s v="Life Sciences"/>
    <n v="546"/>
    <n v="4"/>
    <x v="0"/>
    <n v="30"/>
    <n v="3"/>
    <x v="3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x v="1"/>
    <x v="3"/>
    <s v="3-5 yrs"/>
    <x v="0"/>
    <s v="Very Satisfied"/>
    <n v="198660"/>
  </r>
  <r>
    <n v="42"/>
    <x v="1"/>
    <s v="Travel_Frequently"/>
    <n v="532"/>
    <x v="1"/>
    <n v="29"/>
    <n v="2"/>
    <s v="Life Sciences"/>
    <n v="547"/>
    <n v="1"/>
    <x v="0"/>
    <n v="92"/>
    <n v="3"/>
    <x v="0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x v="0"/>
    <x v="0"/>
    <s v="3-5 yrs"/>
    <x v="0"/>
    <s v="Satisfied"/>
    <n v="54672"/>
  </r>
  <r>
    <n v="30"/>
    <x v="1"/>
    <s v="Travel_Rarely"/>
    <n v="317"/>
    <x v="1"/>
    <n v="2"/>
    <n v="3"/>
    <s v="Life Sciences"/>
    <n v="548"/>
    <n v="3"/>
    <x v="0"/>
    <n v="43"/>
    <n v="1"/>
    <x v="0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  <x v="2"/>
    <x v="2"/>
    <s v="3-5 yrs"/>
    <x v="1"/>
    <s v="Very Satisfied"/>
    <n v="73092"/>
  </r>
  <r>
    <n v="60"/>
    <x v="1"/>
    <s v="Travel_Rarely"/>
    <n v="422"/>
    <x v="1"/>
    <n v="7"/>
    <n v="3"/>
    <s v="Life Sciences"/>
    <n v="549"/>
    <n v="1"/>
    <x v="0"/>
    <n v="41"/>
    <n v="3"/>
    <x v="4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x v="1"/>
    <x v="3"/>
    <s v="10+ yrs"/>
    <x v="0"/>
    <s v="Very Dissatisfied"/>
    <n v="234792"/>
  </r>
  <r>
    <n v="46"/>
    <x v="1"/>
    <s v="Travel_Rarely"/>
    <n v="1485"/>
    <x v="1"/>
    <n v="18"/>
    <n v="3"/>
    <s v="Medical"/>
    <n v="550"/>
    <n v="3"/>
    <x v="0"/>
    <n v="87"/>
    <n v="3"/>
    <x v="0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x v="1"/>
    <x v="0"/>
    <s v="6-10 yrs"/>
    <x v="0"/>
    <s v="Satisfied"/>
    <n v="57720"/>
  </r>
  <r>
    <n v="42"/>
    <x v="1"/>
    <s v="Travel_Frequently"/>
    <n v="1368"/>
    <x v="1"/>
    <n v="28"/>
    <n v="4"/>
    <s v="Technical Degree"/>
    <n v="551"/>
    <n v="4"/>
    <x v="0"/>
    <n v="88"/>
    <n v="2"/>
    <x v="0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  <x v="0"/>
    <x v="0"/>
    <s v="6-10 yrs"/>
    <x v="0"/>
    <s v="Very Satisfied"/>
    <n v="54276"/>
  </r>
  <r>
    <n v="24"/>
    <x v="0"/>
    <s v="Travel_Rarely"/>
    <n v="1448"/>
    <x v="0"/>
    <n v="1"/>
    <n v="1"/>
    <s v="Technical Degree"/>
    <n v="554"/>
    <n v="1"/>
    <x v="0"/>
    <n v="62"/>
    <n v="3"/>
    <x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  <x v="3"/>
    <x v="0"/>
    <s v="3-5 yrs"/>
    <x v="0"/>
    <s v="Dissatisfied"/>
    <n v="38424"/>
  </r>
  <r>
    <n v="34"/>
    <x v="0"/>
    <s v="Travel_Frequently"/>
    <n v="296"/>
    <x v="0"/>
    <n v="6"/>
    <n v="2"/>
    <s v="Marketing"/>
    <n v="555"/>
    <n v="4"/>
    <x v="0"/>
    <n v="33"/>
    <n v="1"/>
    <x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  <x v="2"/>
    <x v="1"/>
    <s v="0-2 yrs"/>
    <x v="0"/>
    <s v="Satisfied"/>
    <n v="28212"/>
  </r>
  <r>
    <n v="38"/>
    <x v="1"/>
    <s v="Travel_Frequently"/>
    <n v="1490"/>
    <x v="1"/>
    <n v="2"/>
    <n v="2"/>
    <s v="Life Sciences"/>
    <n v="556"/>
    <n v="4"/>
    <x v="1"/>
    <n v="42"/>
    <n v="3"/>
    <x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  <x v="0"/>
    <x v="1"/>
    <s v="0-2 yrs"/>
    <x v="1"/>
    <s v="Very Satisfied"/>
    <n v="20424"/>
  </r>
  <r>
    <n v="40"/>
    <x v="1"/>
    <s v="Travel_Rarely"/>
    <n v="1398"/>
    <x v="0"/>
    <n v="2"/>
    <n v="4"/>
    <s v="Life Sciences"/>
    <n v="558"/>
    <n v="3"/>
    <x v="0"/>
    <n v="79"/>
    <n v="3"/>
    <x v="4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x v="0"/>
    <x v="3"/>
    <s v="10+ yrs"/>
    <x v="0"/>
    <s v="Satisfied"/>
    <n v="216492"/>
  </r>
  <r>
    <n v="26"/>
    <x v="1"/>
    <s v="Travel_Rarely"/>
    <n v="1349"/>
    <x v="1"/>
    <n v="23"/>
    <n v="3"/>
    <s v="Life Sciences"/>
    <n v="560"/>
    <n v="1"/>
    <x v="0"/>
    <n v="90"/>
    <n v="3"/>
    <x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  <x v="2"/>
    <x v="1"/>
    <s v="3-5 yrs"/>
    <x v="1"/>
    <s v="Very Satisfied"/>
    <n v="34632"/>
  </r>
  <r>
    <n v="30"/>
    <x v="1"/>
    <s v="Non-Travel"/>
    <n v="1400"/>
    <x v="1"/>
    <n v="3"/>
    <n v="3"/>
    <s v="Life Sciences"/>
    <n v="562"/>
    <n v="3"/>
    <x v="1"/>
    <n v="53"/>
    <n v="3"/>
    <x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  <x v="2"/>
    <x v="1"/>
    <s v="3-5 yrs"/>
    <x v="0"/>
    <s v="Very Satisfied"/>
    <n v="25164"/>
  </r>
  <r>
    <n v="29"/>
    <x v="1"/>
    <s v="Travel_Rarely"/>
    <n v="986"/>
    <x v="1"/>
    <n v="3"/>
    <n v="4"/>
    <s v="Medical"/>
    <n v="564"/>
    <n v="2"/>
    <x v="1"/>
    <n v="93"/>
    <n v="2"/>
    <x v="2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x v="2"/>
    <x v="3"/>
    <s v="6-10 yrs"/>
    <x v="0"/>
    <s v="Satisfied"/>
    <n v="143220"/>
  </r>
  <r>
    <n v="29"/>
    <x v="0"/>
    <s v="Travel_Rarely"/>
    <n v="408"/>
    <x v="1"/>
    <n v="25"/>
    <n v="5"/>
    <s v="Technical Degree"/>
    <n v="565"/>
    <n v="3"/>
    <x v="0"/>
    <n v="71"/>
    <n v="2"/>
    <x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  <x v="2"/>
    <x v="1"/>
    <s v="0-2 yrs"/>
    <x v="0"/>
    <s v="Dissatisfied"/>
    <n v="30552"/>
  </r>
  <r>
    <n v="19"/>
    <x v="0"/>
    <s v="Travel_Rarely"/>
    <n v="489"/>
    <x v="2"/>
    <n v="2"/>
    <n v="2"/>
    <s v="Technical Degree"/>
    <n v="566"/>
    <n v="1"/>
    <x v="1"/>
    <n v="52"/>
    <n v="2"/>
    <x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  <x v="3"/>
    <x v="1"/>
    <s v="0-2 yrs"/>
    <x v="0"/>
    <s v="Very Satisfied"/>
    <n v="30768"/>
  </r>
  <r>
    <n v="30"/>
    <x v="1"/>
    <s v="Non-Travel"/>
    <n v="1398"/>
    <x v="0"/>
    <n v="22"/>
    <n v="4"/>
    <s v="Other"/>
    <n v="567"/>
    <n v="3"/>
    <x v="0"/>
    <n v="69"/>
    <n v="3"/>
    <x v="2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  <x v="2"/>
    <x v="2"/>
    <s v="6-10 yrs"/>
    <x v="0"/>
    <s v="Very Dissatisfied"/>
    <n v="100944"/>
  </r>
  <r>
    <n v="57"/>
    <x v="1"/>
    <s v="Travel_Rarely"/>
    <n v="210"/>
    <x v="0"/>
    <n v="29"/>
    <n v="3"/>
    <s v="Marketing"/>
    <n v="568"/>
    <n v="1"/>
    <x v="1"/>
    <n v="56"/>
    <n v="2"/>
    <x v="3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x v="1"/>
    <x v="3"/>
    <s v="0-2 yrs"/>
    <x v="0"/>
    <s v="Very Satisfied"/>
    <n v="169416"/>
  </r>
  <r>
    <n v="50"/>
    <x v="1"/>
    <s v="Travel_Rarely"/>
    <n v="1099"/>
    <x v="1"/>
    <n v="29"/>
    <n v="4"/>
    <s v="Life Sciences"/>
    <n v="569"/>
    <n v="2"/>
    <x v="1"/>
    <n v="88"/>
    <n v="2"/>
    <x v="3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x v="1"/>
    <x v="3"/>
    <s v="10+ yrs"/>
    <x v="0"/>
    <s v="Satisfied"/>
    <n v="204552"/>
  </r>
  <r>
    <n v="30"/>
    <x v="1"/>
    <s v="Non-Travel"/>
    <n v="1116"/>
    <x v="1"/>
    <n v="2"/>
    <n v="3"/>
    <s v="Medical"/>
    <n v="571"/>
    <n v="3"/>
    <x v="0"/>
    <n v="49"/>
    <n v="3"/>
    <x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  <x v="2"/>
    <x v="1"/>
    <s v="10+ yrs"/>
    <x v="0"/>
    <s v="Very Satisfied"/>
    <n v="30768"/>
  </r>
  <r>
    <n v="60"/>
    <x v="1"/>
    <s v="Travel_Frequently"/>
    <n v="1499"/>
    <x v="0"/>
    <n v="28"/>
    <n v="3"/>
    <s v="Marketing"/>
    <n v="573"/>
    <n v="3"/>
    <x v="0"/>
    <n v="80"/>
    <n v="2"/>
    <x v="2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x v="1"/>
    <x v="3"/>
    <s v="10+ yrs"/>
    <x v="0"/>
    <s v="Very Dissatisfied"/>
    <n v="123192"/>
  </r>
  <r>
    <n v="47"/>
    <x v="1"/>
    <s v="Travel_Rarely"/>
    <n v="983"/>
    <x v="1"/>
    <n v="2"/>
    <n v="2"/>
    <s v="Medical"/>
    <n v="574"/>
    <n v="1"/>
    <x v="0"/>
    <n v="65"/>
    <n v="3"/>
    <x v="0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  <x v="1"/>
    <x v="0"/>
    <s v="3-5 yrs"/>
    <x v="0"/>
    <s v="Very Satisfied"/>
    <n v="60840"/>
  </r>
  <r>
    <n v="46"/>
    <x v="1"/>
    <s v="Travel_Rarely"/>
    <n v="1009"/>
    <x v="1"/>
    <n v="2"/>
    <n v="3"/>
    <s v="Life Sciences"/>
    <n v="575"/>
    <n v="1"/>
    <x v="1"/>
    <n v="51"/>
    <n v="3"/>
    <x v="3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  <x v="1"/>
    <x v="3"/>
    <s v="3-5 yrs"/>
    <x v="0"/>
    <s v="Satisfied"/>
    <n v="214332"/>
  </r>
  <r>
    <n v="35"/>
    <x v="1"/>
    <s v="Travel_Rarely"/>
    <n v="144"/>
    <x v="1"/>
    <n v="22"/>
    <n v="3"/>
    <s v="Life Sciences"/>
    <n v="577"/>
    <n v="4"/>
    <x v="1"/>
    <n v="46"/>
    <n v="1"/>
    <x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  <x v="2"/>
    <x v="0"/>
    <s v="3-5 yrs"/>
    <x v="0"/>
    <s v="Satisfied"/>
    <n v="50760"/>
  </r>
  <r>
    <n v="54"/>
    <x v="1"/>
    <s v="Travel_Rarely"/>
    <n v="548"/>
    <x v="1"/>
    <n v="8"/>
    <n v="4"/>
    <s v="Life Sciences"/>
    <n v="578"/>
    <n v="3"/>
    <x v="0"/>
    <n v="42"/>
    <n v="3"/>
    <x v="0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  <x v="1"/>
    <x v="0"/>
    <s v="0-2 yrs"/>
    <x v="0"/>
    <s v="Satisfied"/>
    <n v="45360"/>
  </r>
  <r>
    <n v="34"/>
    <x v="1"/>
    <s v="Travel_Rarely"/>
    <n v="1303"/>
    <x v="1"/>
    <n v="2"/>
    <n v="4"/>
    <s v="Life Sciences"/>
    <n v="579"/>
    <n v="4"/>
    <x v="1"/>
    <n v="62"/>
    <n v="2"/>
    <x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  <x v="2"/>
    <x v="1"/>
    <s v="6-10 yrs"/>
    <x v="0"/>
    <s v="Satisfied"/>
    <n v="33216"/>
  </r>
  <r>
    <n v="46"/>
    <x v="1"/>
    <s v="Travel_Rarely"/>
    <n v="1125"/>
    <x v="0"/>
    <n v="10"/>
    <n v="3"/>
    <s v="Marketing"/>
    <n v="580"/>
    <n v="3"/>
    <x v="0"/>
    <n v="94"/>
    <n v="2"/>
    <x v="2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  <x v="1"/>
    <x v="2"/>
    <s v="3-5 yrs"/>
    <x v="0"/>
    <s v="Very Satisfied"/>
    <n v="108852"/>
  </r>
  <r>
    <n v="31"/>
    <x v="1"/>
    <s v="Travel_Rarely"/>
    <n v="1274"/>
    <x v="1"/>
    <n v="9"/>
    <n v="1"/>
    <s v="Life Sciences"/>
    <n v="581"/>
    <n v="3"/>
    <x v="1"/>
    <n v="33"/>
    <n v="3"/>
    <x v="2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x v="2"/>
    <x v="3"/>
    <s v="10+ yrs"/>
    <x v="1"/>
    <s v="Dissatisfied"/>
    <n v="127776"/>
  </r>
  <r>
    <n v="33"/>
    <x v="0"/>
    <s v="Travel_Rarely"/>
    <n v="1277"/>
    <x v="1"/>
    <n v="15"/>
    <n v="1"/>
    <s v="Medical"/>
    <n v="582"/>
    <n v="2"/>
    <x v="1"/>
    <n v="56"/>
    <n v="3"/>
    <x v="2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x v="2"/>
    <x v="3"/>
    <s v="6-10 yrs"/>
    <x v="0"/>
    <s v="Satisfied"/>
    <n v="163320"/>
  </r>
  <r>
    <n v="33"/>
    <x v="0"/>
    <s v="Travel_Rarely"/>
    <n v="587"/>
    <x v="1"/>
    <n v="10"/>
    <n v="1"/>
    <s v="Medical"/>
    <n v="584"/>
    <n v="1"/>
    <x v="1"/>
    <n v="38"/>
    <n v="1"/>
    <x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  <x v="2"/>
    <x v="0"/>
    <s v="3-5 yrs"/>
    <x v="0"/>
    <s v="Very Satisfied"/>
    <n v="40896"/>
  </r>
  <r>
    <n v="30"/>
    <x v="1"/>
    <s v="Travel_Rarely"/>
    <n v="413"/>
    <x v="0"/>
    <n v="7"/>
    <n v="1"/>
    <s v="Marketing"/>
    <n v="585"/>
    <n v="4"/>
    <x v="1"/>
    <n v="57"/>
    <n v="3"/>
    <x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  <x v="2"/>
    <x v="1"/>
    <s v="3-5 yrs"/>
    <x v="0"/>
    <s v="Dissatisfied"/>
    <n v="35796"/>
  </r>
  <r>
    <n v="35"/>
    <x v="1"/>
    <s v="Travel_Rarely"/>
    <n v="1276"/>
    <x v="1"/>
    <n v="16"/>
    <n v="3"/>
    <s v="Life Sciences"/>
    <n v="586"/>
    <n v="4"/>
    <x v="1"/>
    <n v="72"/>
    <n v="3"/>
    <x v="2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  <x v="2"/>
    <x v="2"/>
    <s v="6-10 yrs"/>
    <x v="0"/>
    <s v="Satisfied"/>
    <n v="91584"/>
  </r>
  <r>
    <n v="31"/>
    <x v="0"/>
    <s v="Travel_Frequently"/>
    <n v="534"/>
    <x v="1"/>
    <n v="20"/>
    <n v="3"/>
    <s v="Life Sciences"/>
    <n v="587"/>
    <n v="1"/>
    <x v="1"/>
    <n v="66"/>
    <n v="3"/>
    <x v="2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  <x v="2"/>
    <x v="2"/>
    <s v="0-2 yrs"/>
    <x v="0"/>
    <s v="Satisfied"/>
    <n v="117888"/>
  </r>
  <r>
    <n v="34"/>
    <x v="0"/>
    <s v="Travel_Frequently"/>
    <n v="988"/>
    <x v="2"/>
    <n v="23"/>
    <n v="3"/>
    <s v="Human Resources"/>
    <n v="590"/>
    <n v="2"/>
    <x v="0"/>
    <n v="43"/>
    <n v="3"/>
    <x v="2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x v="2"/>
    <x v="2"/>
    <s v="3-5 yrs"/>
    <x v="0"/>
    <s v="Very Dissatisfied"/>
    <n v="119400"/>
  </r>
  <r>
    <n v="42"/>
    <x v="1"/>
    <s v="Travel_Frequently"/>
    <n v="1474"/>
    <x v="1"/>
    <n v="5"/>
    <n v="2"/>
    <s v="Other"/>
    <n v="591"/>
    <n v="2"/>
    <x v="1"/>
    <n v="97"/>
    <n v="3"/>
    <x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  <x v="0"/>
    <x v="1"/>
    <s v="0-2 yrs"/>
    <x v="0"/>
    <s v="Satisfied"/>
    <n v="25116"/>
  </r>
  <r>
    <n v="36"/>
    <x v="1"/>
    <s v="Non-Travel"/>
    <n v="635"/>
    <x v="0"/>
    <n v="10"/>
    <n v="4"/>
    <s v="Medical"/>
    <n v="592"/>
    <n v="2"/>
    <x v="1"/>
    <n v="32"/>
    <n v="3"/>
    <x v="2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  <x v="0"/>
    <x v="2"/>
    <s v="6-10 yrs"/>
    <x v="0"/>
    <s v="Very Satisfied"/>
    <n v="119760"/>
  </r>
  <r>
    <n v="22"/>
    <x v="0"/>
    <s v="Travel_Frequently"/>
    <n v="1368"/>
    <x v="1"/>
    <n v="4"/>
    <n v="1"/>
    <s v="Technical Degree"/>
    <n v="593"/>
    <n v="3"/>
    <x v="1"/>
    <n v="99"/>
    <n v="2"/>
    <x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  <x v="3"/>
    <x v="0"/>
    <s v="0-2 yrs"/>
    <x v="0"/>
    <s v="Satisfied"/>
    <n v="46728"/>
  </r>
  <r>
    <n v="48"/>
    <x v="1"/>
    <s v="Travel_Rarely"/>
    <n v="163"/>
    <x v="0"/>
    <n v="2"/>
    <n v="5"/>
    <s v="Marketing"/>
    <n v="595"/>
    <n v="2"/>
    <x v="0"/>
    <n v="37"/>
    <n v="3"/>
    <x v="0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  <x v="1"/>
    <x v="0"/>
    <s v="6-10 yrs"/>
    <x v="0"/>
    <s v="Very Satisfied"/>
    <n v="48612"/>
  </r>
  <r>
    <n v="55"/>
    <x v="1"/>
    <s v="Travel_Rarely"/>
    <n v="1117"/>
    <x v="0"/>
    <n v="18"/>
    <n v="5"/>
    <s v="Life Sciences"/>
    <n v="597"/>
    <n v="1"/>
    <x v="0"/>
    <n v="83"/>
    <n v="3"/>
    <x v="3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  <x v="1"/>
    <x v="3"/>
    <s v="6-10 yrs"/>
    <x v="1"/>
    <s v="Dissatisfied"/>
    <n v="202020"/>
  </r>
  <r>
    <n v="41"/>
    <x v="1"/>
    <s v="Non-Travel"/>
    <n v="267"/>
    <x v="0"/>
    <n v="10"/>
    <n v="2"/>
    <s v="Life Sciences"/>
    <n v="599"/>
    <n v="4"/>
    <x v="1"/>
    <n v="56"/>
    <n v="3"/>
    <x v="0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x v="0"/>
    <x v="2"/>
    <s v="10+ yrs"/>
    <x v="0"/>
    <s v="Very Satisfied"/>
    <n v="74760"/>
  </r>
  <r>
    <n v="35"/>
    <x v="1"/>
    <s v="Travel_Rarely"/>
    <n v="619"/>
    <x v="0"/>
    <n v="1"/>
    <n v="3"/>
    <s v="Marketing"/>
    <n v="600"/>
    <n v="2"/>
    <x v="1"/>
    <n v="85"/>
    <n v="3"/>
    <x v="0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x v="2"/>
    <x v="0"/>
    <s v="10+ yrs"/>
    <x v="0"/>
    <s v="Satisfied"/>
    <n v="56604"/>
  </r>
  <r>
    <n v="40"/>
    <x v="1"/>
    <s v="Travel_Rarely"/>
    <n v="302"/>
    <x v="1"/>
    <n v="6"/>
    <n v="3"/>
    <s v="Life Sciences"/>
    <n v="601"/>
    <n v="2"/>
    <x v="0"/>
    <n v="75"/>
    <n v="3"/>
    <x v="3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x v="0"/>
    <x v="3"/>
    <s v="10+ yrs"/>
    <x v="0"/>
    <s v="Satisfied"/>
    <n v="158844"/>
  </r>
  <r>
    <n v="39"/>
    <x v="1"/>
    <s v="Travel_Frequently"/>
    <n v="443"/>
    <x v="1"/>
    <n v="8"/>
    <n v="1"/>
    <s v="Life Sciences"/>
    <n v="602"/>
    <n v="3"/>
    <x v="0"/>
    <n v="48"/>
    <n v="3"/>
    <x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  <x v="0"/>
    <x v="0"/>
    <s v="6-10 yrs"/>
    <x v="0"/>
    <s v="Satisfied"/>
    <n v="45060"/>
  </r>
  <r>
    <n v="31"/>
    <x v="1"/>
    <s v="Travel_Rarely"/>
    <n v="828"/>
    <x v="0"/>
    <n v="2"/>
    <n v="1"/>
    <s v="Life Sciences"/>
    <n v="604"/>
    <n v="2"/>
    <x v="1"/>
    <n v="77"/>
    <n v="3"/>
    <x v="0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  <x v="2"/>
    <x v="2"/>
    <s v="6-10 yrs"/>
    <x v="0"/>
    <s v="Very Satisfied"/>
    <n v="78984"/>
  </r>
  <r>
    <n v="42"/>
    <x v="1"/>
    <s v="Travel_Rarely"/>
    <n v="319"/>
    <x v="1"/>
    <n v="24"/>
    <n v="3"/>
    <s v="Medical"/>
    <n v="605"/>
    <n v="4"/>
    <x v="1"/>
    <n v="56"/>
    <n v="3"/>
    <x v="2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  <x v="0"/>
    <x v="2"/>
    <s v="6-10 yrs"/>
    <x v="1"/>
    <s v="Very Dissatisfied"/>
    <n v="88872"/>
  </r>
  <r>
    <n v="45"/>
    <x v="1"/>
    <s v="Travel_Rarely"/>
    <n v="561"/>
    <x v="0"/>
    <n v="2"/>
    <n v="3"/>
    <s v="Other"/>
    <n v="606"/>
    <n v="4"/>
    <x v="1"/>
    <n v="61"/>
    <n v="3"/>
    <x v="0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  <x v="0"/>
    <x v="0"/>
    <s v="6-10 yrs"/>
    <x v="0"/>
    <s v="Dissatisfied"/>
    <n v="57660"/>
  </r>
  <r>
    <n v="26"/>
    <x v="0"/>
    <s v="Travel_Frequently"/>
    <n v="426"/>
    <x v="2"/>
    <n v="17"/>
    <n v="4"/>
    <s v="Life Sciences"/>
    <n v="608"/>
    <n v="2"/>
    <x v="0"/>
    <n v="58"/>
    <n v="3"/>
    <x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  <x v="2"/>
    <x v="1"/>
    <s v="6-10 yrs"/>
    <x v="0"/>
    <s v="Satisfied"/>
    <n v="32892"/>
  </r>
  <r>
    <n v="29"/>
    <x v="1"/>
    <s v="Travel_Rarely"/>
    <n v="232"/>
    <x v="1"/>
    <n v="19"/>
    <n v="3"/>
    <s v="Technical Degree"/>
    <n v="611"/>
    <n v="4"/>
    <x v="1"/>
    <n v="34"/>
    <n v="3"/>
    <x v="0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  <x v="2"/>
    <x v="0"/>
    <s v="3-5 yrs"/>
    <x v="0"/>
    <s v="Very Satisfied"/>
    <n v="51144"/>
  </r>
  <r>
    <n v="33"/>
    <x v="1"/>
    <s v="Travel_Rarely"/>
    <n v="922"/>
    <x v="1"/>
    <n v="1"/>
    <n v="5"/>
    <s v="Medical"/>
    <n v="612"/>
    <n v="1"/>
    <x v="0"/>
    <n v="95"/>
    <n v="4"/>
    <x v="3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x v="2"/>
    <x v="3"/>
    <s v="6-10 yrs"/>
    <x v="0"/>
    <s v="Satisfied"/>
    <n v="194208"/>
  </r>
  <r>
    <n v="31"/>
    <x v="1"/>
    <s v="Travel_Rarely"/>
    <n v="688"/>
    <x v="0"/>
    <n v="7"/>
    <n v="3"/>
    <s v="Life Sciences"/>
    <n v="613"/>
    <n v="3"/>
    <x v="1"/>
    <n v="44"/>
    <n v="2"/>
    <x v="2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x v="2"/>
    <x v="3"/>
    <s v="3-5 yrs"/>
    <x v="1"/>
    <s v="Very Satisfied"/>
    <n v="138684"/>
  </r>
  <r>
    <n v="18"/>
    <x v="0"/>
    <s v="Travel_Frequently"/>
    <n v="1306"/>
    <x v="0"/>
    <n v="5"/>
    <n v="3"/>
    <s v="Marketing"/>
    <n v="614"/>
    <n v="2"/>
    <x v="1"/>
    <n v="69"/>
    <n v="3"/>
    <x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  <x v="3"/>
    <x v="1"/>
    <s v="0-2 yrs"/>
    <x v="0"/>
    <s v="Dissatisfied"/>
    <n v="22536"/>
  </r>
  <r>
    <n v="40"/>
    <x v="1"/>
    <s v="Non-Travel"/>
    <n v="1094"/>
    <x v="0"/>
    <n v="28"/>
    <n v="3"/>
    <s v="Other"/>
    <n v="615"/>
    <n v="3"/>
    <x v="1"/>
    <n v="58"/>
    <n v="1"/>
    <x v="2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x v="0"/>
    <x v="3"/>
    <s v="0-2 yrs"/>
    <x v="0"/>
    <s v="Very Dissatisfied"/>
    <n v="131184"/>
  </r>
  <r>
    <n v="41"/>
    <x v="1"/>
    <s v="Non-Travel"/>
    <n v="509"/>
    <x v="1"/>
    <n v="2"/>
    <n v="4"/>
    <s v="Other"/>
    <n v="616"/>
    <n v="1"/>
    <x v="0"/>
    <n v="62"/>
    <n v="2"/>
    <x v="0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  <x v="0"/>
    <x v="2"/>
    <s v="6-10 yrs"/>
    <x v="0"/>
    <s v="Satisfied"/>
    <n v="81732"/>
  </r>
  <r>
    <n v="26"/>
    <x v="1"/>
    <s v="Travel_Rarely"/>
    <n v="775"/>
    <x v="0"/>
    <n v="29"/>
    <n v="2"/>
    <s v="Medical"/>
    <n v="618"/>
    <n v="1"/>
    <x v="1"/>
    <n v="45"/>
    <n v="3"/>
    <x v="0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  <x v="2"/>
    <x v="0"/>
    <s v="0-2 yrs"/>
    <x v="0"/>
    <s v="Satisfied"/>
    <n v="51672"/>
  </r>
  <r>
    <n v="35"/>
    <x v="1"/>
    <s v="Travel_Rarely"/>
    <n v="195"/>
    <x v="0"/>
    <n v="1"/>
    <n v="3"/>
    <s v="Medical"/>
    <n v="620"/>
    <n v="1"/>
    <x v="0"/>
    <n v="80"/>
    <n v="3"/>
    <x v="0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  <x v="2"/>
    <x v="0"/>
    <s v="3-5 yrs"/>
    <x v="0"/>
    <s v="Satisfied"/>
    <n v="58308"/>
  </r>
  <r>
    <n v="34"/>
    <x v="1"/>
    <s v="Travel_Rarely"/>
    <n v="258"/>
    <x v="0"/>
    <n v="21"/>
    <n v="4"/>
    <s v="Life Sciences"/>
    <n v="621"/>
    <n v="4"/>
    <x v="1"/>
    <n v="74"/>
    <n v="4"/>
    <x v="0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  <x v="2"/>
    <x v="0"/>
    <s v="6-10 yrs"/>
    <x v="0"/>
    <s v="Very Satisfied"/>
    <n v="64044"/>
  </r>
  <r>
    <n v="26"/>
    <x v="0"/>
    <s v="Travel_Rarely"/>
    <n v="471"/>
    <x v="1"/>
    <n v="24"/>
    <n v="3"/>
    <s v="Technical Degree"/>
    <n v="622"/>
    <n v="3"/>
    <x v="1"/>
    <n v="66"/>
    <n v="1"/>
    <x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  <x v="2"/>
    <x v="1"/>
    <s v="0-2 yrs"/>
    <x v="0"/>
    <s v="Very Satisfied"/>
    <n v="28080"/>
  </r>
  <r>
    <n v="37"/>
    <x v="1"/>
    <s v="Travel_Rarely"/>
    <n v="799"/>
    <x v="1"/>
    <n v="1"/>
    <n v="3"/>
    <s v="Technical Degree"/>
    <n v="623"/>
    <n v="2"/>
    <x v="0"/>
    <n v="59"/>
    <n v="3"/>
    <x v="2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  <x v="0"/>
    <x v="2"/>
    <s v="6-10 yrs"/>
    <x v="0"/>
    <s v="Very Satisfied"/>
    <n v="89892"/>
  </r>
  <r>
    <n v="46"/>
    <x v="1"/>
    <s v="Travel_Frequently"/>
    <n v="1034"/>
    <x v="1"/>
    <n v="18"/>
    <n v="1"/>
    <s v="Medical"/>
    <n v="624"/>
    <n v="1"/>
    <x v="0"/>
    <n v="86"/>
    <n v="3"/>
    <x v="2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  <x v="1"/>
    <x v="3"/>
    <s v="0-2 yrs"/>
    <x v="0"/>
    <s v="Satisfied"/>
    <n v="126324"/>
  </r>
  <r>
    <n v="41"/>
    <x v="1"/>
    <s v="Travel_Rarely"/>
    <n v="1276"/>
    <x v="0"/>
    <n v="2"/>
    <n v="5"/>
    <s v="Life Sciences"/>
    <n v="625"/>
    <n v="2"/>
    <x v="0"/>
    <n v="91"/>
    <n v="3"/>
    <x v="3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x v="0"/>
    <x v="3"/>
    <s v="10+ yrs"/>
    <x v="0"/>
    <s v="Very Dissatisfied"/>
    <n v="199140"/>
  </r>
  <r>
    <n v="37"/>
    <x v="1"/>
    <s v="Non-Travel"/>
    <n v="142"/>
    <x v="0"/>
    <n v="9"/>
    <n v="4"/>
    <s v="Medical"/>
    <n v="626"/>
    <n v="1"/>
    <x v="1"/>
    <n v="69"/>
    <n v="3"/>
    <x v="2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  <x v="0"/>
    <x v="2"/>
    <s v="6-10 yrs"/>
    <x v="0"/>
    <s v="Dissatisfied"/>
    <n v="106008"/>
  </r>
  <r>
    <n v="52"/>
    <x v="1"/>
    <s v="Travel_Rarely"/>
    <n v="956"/>
    <x v="1"/>
    <n v="6"/>
    <n v="2"/>
    <s v="Technical Degree"/>
    <n v="630"/>
    <n v="4"/>
    <x v="1"/>
    <n v="78"/>
    <n v="3"/>
    <x v="0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x v="1"/>
    <x v="0"/>
    <s v="6-10 yrs"/>
    <x v="0"/>
    <s v="Very Dissatisfied"/>
    <n v="66924"/>
  </r>
  <r>
    <n v="32"/>
    <x v="0"/>
    <s v="Non-Travel"/>
    <n v="1474"/>
    <x v="0"/>
    <n v="11"/>
    <n v="4"/>
    <s v="Other"/>
    <n v="631"/>
    <n v="4"/>
    <x v="1"/>
    <n v="60"/>
    <n v="4"/>
    <x v="0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  <x v="2"/>
    <x v="0"/>
    <s v="3-5 yrs"/>
    <x v="0"/>
    <s v="Satisfied"/>
    <n v="56484"/>
  </r>
  <r>
    <n v="24"/>
    <x v="1"/>
    <s v="Travel_Frequently"/>
    <n v="535"/>
    <x v="0"/>
    <n v="24"/>
    <n v="3"/>
    <s v="Medical"/>
    <n v="632"/>
    <n v="4"/>
    <x v="1"/>
    <n v="38"/>
    <n v="3"/>
    <x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  <x v="3"/>
    <x v="1"/>
    <s v="0-2 yrs"/>
    <x v="0"/>
    <s v="Very Satisfied"/>
    <n v="28800"/>
  </r>
  <r>
    <n v="38"/>
    <x v="1"/>
    <s v="Travel_Rarely"/>
    <n v="1495"/>
    <x v="1"/>
    <n v="10"/>
    <n v="3"/>
    <s v="Medical"/>
    <n v="634"/>
    <n v="3"/>
    <x v="0"/>
    <n v="76"/>
    <n v="3"/>
    <x v="0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  <x v="0"/>
    <x v="2"/>
    <s v="0-2 yrs"/>
    <x v="0"/>
    <s v="Satisfied"/>
    <n v="117888"/>
  </r>
  <r>
    <n v="37"/>
    <x v="1"/>
    <s v="Travel_Rarely"/>
    <n v="446"/>
    <x v="1"/>
    <n v="1"/>
    <n v="4"/>
    <s v="Life Sciences"/>
    <n v="635"/>
    <n v="2"/>
    <x v="0"/>
    <n v="65"/>
    <n v="3"/>
    <x v="0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  <x v="0"/>
    <x v="2"/>
    <s v="6-10 yrs"/>
    <x v="0"/>
    <s v="Dissatisfied"/>
    <n v="77364"/>
  </r>
  <r>
    <n v="49"/>
    <x v="1"/>
    <s v="Travel_Rarely"/>
    <n v="1245"/>
    <x v="1"/>
    <n v="18"/>
    <n v="4"/>
    <s v="Life Sciences"/>
    <n v="638"/>
    <n v="4"/>
    <x v="1"/>
    <n v="58"/>
    <n v="2"/>
    <x v="4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x v="1"/>
    <x v="3"/>
    <s v="10+ yrs"/>
    <x v="0"/>
    <s v="Satisfied"/>
    <n v="234024"/>
  </r>
  <r>
    <n v="24"/>
    <x v="1"/>
    <s v="Travel_Rarely"/>
    <n v="691"/>
    <x v="1"/>
    <n v="23"/>
    <n v="3"/>
    <s v="Medical"/>
    <n v="639"/>
    <n v="2"/>
    <x v="1"/>
    <n v="89"/>
    <n v="4"/>
    <x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  <x v="3"/>
    <x v="1"/>
    <s v="6-10 yrs"/>
    <x v="0"/>
    <s v="Very Satisfied"/>
    <n v="32700"/>
  </r>
  <r>
    <n v="26"/>
    <x v="1"/>
    <s v="Travel_Rarely"/>
    <n v="703"/>
    <x v="0"/>
    <n v="28"/>
    <n v="2"/>
    <s v="Marketing"/>
    <n v="641"/>
    <n v="1"/>
    <x v="1"/>
    <n v="66"/>
    <n v="3"/>
    <x v="0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  <x v="2"/>
    <x v="2"/>
    <s v="3-5 yrs"/>
    <x v="1"/>
    <s v="Dissatisfied"/>
    <n v="75264"/>
  </r>
  <r>
    <n v="24"/>
    <x v="1"/>
    <s v="Travel_Rarely"/>
    <n v="823"/>
    <x v="1"/>
    <n v="17"/>
    <n v="2"/>
    <s v="Other"/>
    <n v="643"/>
    <n v="4"/>
    <x v="1"/>
    <n v="94"/>
    <n v="2"/>
    <x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  <x v="3"/>
    <x v="1"/>
    <s v="0-2 yrs"/>
    <x v="1"/>
    <s v="Dissatisfied"/>
    <n v="25524"/>
  </r>
  <r>
    <n v="50"/>
    <x v="1"/>
    <s v="Travel_Frequently"/>
    <n v="1246"/>
    <x v="2"/>
    <n v="3"/>
    <n v="3"/>
    <s v="Medical"/>
    <n v="644"/>
    <n v="1"/>
    <x v="1"/>
    <n v="99"/>
    <n v="3"/>
    <x v="4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x v="1"/>
    <x v="3"/>
    <s v="10+ yrs"/>
    <x v="0"/>
    <s v="Dissatisfied"/>
    <n v="218400"/>
  </r>
  <r>
    <n v="25"/>
    <x v="1"/>
    <s v="Travel_Rarely"/>
    <n v="622"/>
    <x v="0"/>
    <n v="13"/>
    <n v="1"/>
    <s v="Medical"/>
    <n v="645"/>
    <n v="2"/>
    <x v="1"/>
    <n v="40"/>
    <n v="3"/>
    <x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  <x v="3"/>
    <x v="1"/>
    <s v="6-10 yrs"/>
    <x v="0"/>
    <s v="Satisfied"/>
    <n v="25152"/>
  </r>
  <r>
    <n v="24"/>
    <x v="0"/>
    <s v="Travel_Frequently"/>
    <n v="1287"/>
    <x v="1"/>
    <n v="7"/>
    <n v="3"/>
    <s v="Life Sciences"/>
    <n v="647"/>
    <n v="1"/>
    <x v="0"/>
    <n v="55"/>
    <n v="3"/>
    <x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  <x v="3"/>
    <x v="1"/>
    <s v="6-10 yrs"/>
    <x v="0"/>
    <s v="Satisfied"/>
    <n v="34632"/>
  </r>
  <r>
    <n v="30"/>
    <x v="0"/>
    <s v="Travel_Frequently"/>
    <n v="448"/>
    <x v="0"/>
    <n v="12"/>
    <n v="4"/>
    <s v="Life Sciences"/>
    <n v="648"/>
    <n v="2"/>
    <x v="1"/>
    <n v="74"/>
    <n v="2"/>
    <x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  <x v="2"/>
    <x v="1"/>
    <s v="0-2 yrs"/>
    <x v="0"/>
    <s v="Very Dissatisfied"/>
    <n v="24396"/>
  </r>
  <r>
    <n v="34"/>
    <x v="1"/>
    <s v="Travel_Rarely"/>
    <n v="254"/>
    <x v="1"/>
    <n v="1"/>
    <n v="2"/>
    <s v="Life Sciences"/>
    <n v="649"/>
    <n v="2"/>
    <x v="1"/>
    <n v="83"/>
    <n v="2"/>
    <x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  <x v="2"/>
    <x v="0"/>
    <s v="6-10 yrs"/>
    <x v="0"/>
    <s v="Very Satisfied"/>
    <n v="43464"/>
  </r>
  <r>
    <n v="31"/>
    <x v="0"/>
    <s v="Travel_Rarely"/>
    <n v="1365"/>
    <x v="0"/>
    <n v="13"/>
    <n v="4"/>
    <s v="Medical"/>
    <n v="650"/>
    <n v="2"/>
    <x v="1"/>
    <n v="46"/>
    <n v="3"/>
    <x v="0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  <x v="2"/>
    <x v="0"/>
    <s v="3-5 yrs"/>
    <x v="0"/>
    <s v="Very Dissatisfied"/>
    <n v="50796"/>
  </r>
  <r>
    <n v="35"/>
    <x v="1"/>
    <s v="Travel_Rarely"/>
    <n v="538"/>
    <x v="1"/>
    <n v="25"/>
    <n v="2"/>
    <s v="Other"/>
    <n v="652"/>
    <n v="1"/>
    <x v="1"/>
    <n v="54"/>
    <n v="2"/>
    <x v="0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  <x v="2"/>
    <x v="0"/>
    <s v="3-5 yrs"/>
    <x v="0"/>
    <s v="Very Satisfied"/>
    <n v="44172"/>
  </r>
  <r>
    <n v="31"/>
    <x v="1"/>
    <s v="Travel_Rarely"/>
    <n v="525"/>
    <x v="0"/>
    <n v="6"/>
    <n v="4"/>
    <s v="Medical"/>
    <n v="653"/>
    <n v="1"/>
    <x v="1"/>
    <n v="66"/>
    <n v="4"/>
    <x v="0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  <x v="2"/>
    <x v="0"/>
    <s v="6-10 yrs"/>
    <x v="1"/>
    <s v="Very Satisfied"/>
    <n v="65520"/>
  </r>
  <r>
    <n v="27"/>
    <x v="1"/>
    <s v="Travel_Rarely"/>
    <n v="798"/>
    <x v="1"/>
    <n v="6"/>
    <n v="4"/>
    <s v="Medical"/>
    <n v="655"/>
    <n v="1"/>
    <x v="0"/>
    <n v="66"/>
    <n v="2"/>
    <x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  <x v="2"/>
    <x v="1"/>
    <s v="3-5 yrs"/>
    <x v="0"/>
    <s v="Satisfied"/>
    <n v="26244"/>
  </r>
  <r>
    <n v="37"/>
    <x v="1"/>
    <s v="Travel_Rarely"/>
    <n v="558"/>
    <x v="0"/>
    <n v="2"/>
    <n v="3"/>
    <s v="Marketing"/>
    <n v="656"/>
    <n v="4"/>
    <x v="1"/>
    <n v="75"/>
    <n v="3"/>
    <x v="0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  <x v="0"/>
    <x v="2"/>
    <s v="3-5 yrs"/>
    <x v="0"/>
    <s v="Satisfied"/>
    <n v="115224"/>
  </r>
  <r>
    <n v="20"/>
    <x v="1"/>
    <s v="Travel_Rarely"/>
    <n v="959"/>
    <x v="1"/>
    <n v="1"/>
    <n v="3"/>
    <s v="Life Sciences"/>
    <n v="657"/>
    <n v="4"/>
    <x v="0"/>
    <n v="83"/>
    <n v="2"/>
    <x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  <x v="3"/>
    <x v="1"/>
    <s v="0-2 yrs"/>
    <x v="0"/>
    <s v="Dissatisfied"/>
    <n v="34032"/>
  </r>
  <r>
    <n v="42"/>
    <x v="1"/>
    <s v="Travel_Rarely"/>
    <n v="622"/>
    <x v="1"/>
    <n v="2"/>
    <n v="4"/>
    <s v="Life Sciences"/>
    <n v="659"/>
    <n v="3"/>
    <x v="0"/>
    <n v="81"/>
    <n v="3"/>
    <x v="0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  <x v="0"/>
    <x v="0"/>
    <s v="6-10 yrs"/>
    <x v="0"/>
    <s v="Very Satisfied"/>
    <n v="49068"/>
  </r>
  <r>
    <n v="43"/>
    <x v="1"/>
    <s v="Travel_Rarely"/>
    <n v="782"/>
    <x v="1"/>
    <n v="6"/>
    <n v="4"/>
    <s v="Other"/>
    <n v="661"/>
    <n v="2"/>
    <x v="1"/>
    <n v="50"/>
    <n v="2"/>
    <x v="3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x v="0"/>
    <x v="3"/>
    <s v="0-2 yrs"/>
    <x v="0"/>
    <s v="Very Satisfied"/>
    <n v="199524"/>
  </r>
  <r>
    <n v="38"/>
    <x v="1"/>
    <s v="Travel_Rarely"/>
    <n v="362"/>
    <x v="1"/>
    <n v="1"/>
    <n v="1"/>
    <s v="Life Sciences"/>
    <n v="662"/>
    <n v="3"/>
    <x v="0"/>
    <n v="43"/>
    <n v="3"/>
    <x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  <x v="0"/>
    <x v="1"/>
    <s v="0-2 yrs"/>
    <x v="0"/>
    <s v="Very Dissatisfied"/>
    <n v="31428"/>
  </r>
  <r>
    <n v="43"/>
    <x v="1"/>
    <s v="Travel_Frequently"/>
    <n v="1001"/>
    <x v="1"/>
    <n v="9"/>
    <n v="5"/>
    <s v="Medical"/>
    <n v="663"/>
    <n v="4"/>
    <x v="1"/>
    <n v="72"/>
    <n v="3"/>
    <x v="0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x v="0"/>
    <x v="0"/>
    <s v="6-10 yrs"/>
    <x v="0"/>
    <s v="Satisfied"/>
    <n v="68148"/>
  </r>
  <r>
    <n v="48"/>
    <x v="1"/>
    <s v="Travel_Rarely"/>
    <n v="1236"/>
    <x v="1"/>
    <n v="1"/>
    <n v="4"/>
    <s v="Life Sciences"/>
    <n v="664"/>
    <n v="4"/>
    <x v="0"/>
    <n v="40"/>
    <n v="2"/>
    <x v="3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x v="1"/>
    <x v="3"/>
    <s v="3-5 yrs"/>
    <x v="0"/>
    <s v="Very Dissatisfied"/>
    <n v="184824"/>
  </r>
  <r>
    <n v="44"/>
    <x v="1"/>
    <s v="Travel_Rarely"/>
    <n v="1112"/>
    <x v="2"/>
    <n v="1"/>
    <n v="4"/>
    <s v="Life Sciences"/>
    <n v="665"/>
    <n v="1"/>
    <x v="0"/>
    <n v="50"/>
    <n v="2"/>
    <x v="0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  <x v="0"/>
    <x v="0"/>
    <s v="0-2 yrs"/>
    <x v="0"/>
    <s v="Satisfied"/>
    <n v="71820"/>
  </r>
  <r>
    <n v="34"/>
    <x v="1"/>
    <s v="Travel_Rarely"/>
    <n v="204"/>
    <x v="0"/>
    <n v="14"/>
    <n v="3"/>
    <s v="Technical Degree"/>
    <n v="666"/>
    <n v="3"/>
    <x v="0"/>
    <n v="31"/>
    <n v="3"/>
    <x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  <x v="2"/>
    <x v="1"/>
    <s v="6-10 yrs"/>
    <x v="0"/>
    <s v="Satisfied"/>
    <n v="30948"/>
  </r>
  <r>
    <n v="27"/>
    <x v="0"/>
    <s v="Travel_Rarely"/>
    <n v="1420"/>
    <x v="0"/>
    <n v="2"/>
    <n v="1"/>
    <s v="Marketing"/>
    <n v="667"/>
    <n v="3"/>
    <x v="1"/>
    <n v="85"/>
    <n v="3"/>
    <x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  <x v="2"/>
    <x v="0"/>
    <s v="3-5 yrs"/>
    <x v="0"/>
    <s v="Very Dissatisfied"/>
    <n v="36492"/>
  </r>
  <r>
    <n v="21"/>
    <x v="1"/>
    <s v="Travel_Rarely"/>
    <n v="1343"/>
    <x v="0"/>
    <n v="22"/>
    <n v="1"/>
    <s v="Technical Degree"/>
    <n v="669"/>
    <n v="3"/>
    <x v="1"/>
    <n v="49"/>
    <n v="3"/>
    <x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  <x v="3"/>
    <x v="0"/>
    <s v="3-5 yrs"/>
    <x v="0"/>
    <s v="Satisfied"/>
    <n v="41364"/>
  </r>
  <r>
    <n v="44"/>
    <x v="1"/>
    <s v="Travel_Rarely"/>
    <n v="1315"/>
    <x v="1"/>
    <n v="3"/>
    <n v="4"/>
    <s v="Other"/>
    <n v="671"/>
    <n v="4"/>
    <x v="1"/>
    <n v="35"/>
    <n v="3"/>
    <x v="4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  <x v="0"/>
    <x v="3"/>
    <s v="0-2 yrs"/>
    <x v="0"/>
    <s v="Very Satisfied"/>
    <n v="234156"/>
  </r>
  <r>
    <n v="22"/>
    <x v="1"/>
    <s v="Travel_Rarely"/>
    <n v="604"/>
    <x v="1"/>
    <n v="6"/>
    <n v="1"/>
    <s v="Medical"/>
    <n v="675"/>
    <n v="1"/>
    <x v="1"/>
    <n v="69"/>
    <n v="3"/>
    <x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  <x v="3"/>
    <x v="1"/>
    <s v="0-2 yrs"/>
    <x v="1"/>
    <s v="Satisfied"/>
    <n v="33276"/>
  </r>
  <r>
    <n v="33"/>
    <x v="1"/>
    <s v="Travel_Rarely"/>
    <n v="1216"/>
    <x v="0"/>
    <n v="8"/>
    <n v="4"/>
    <s v="Marketing"/>
    <n v="677"/>
    <n v="3"/>
    <x v="1"/>
    <n v="39"/>
    <n v="3"/>
    <x v="0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  <x v="2"/>
    <x v="2"/>
    <s v="3-5 yrs"/>
    <x v="0"/>
    <s v="Satisfied"/>
    <n v="85248"/>
  </r>
  <r>
    <n v="32"/>
    <x v="1"/>
    <s v="Travel_Rarely"/>
    <n v="646"/>
    <x v="1"/>
    <n v="9"/>
    <n v="4"/>
    <s v="Life Sciences"/>
    <n v="679"/>
    <n v="1"/>
    <x v="0"/>
    <n v="92"/>
    <n v="3"/>
    <x v="0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  <x v="2"/>
    <x v="2"/>
    <s v="6-10 yrs"/>
    <x v="0"/>
    <s v="Very Satisfied"/>
    <n v="75864"/>
  </r>
  <r>
    <n v="30"/>
    <x v="1"/>
    <s v="Travel_Frequently"/>
    <n v="160"/>
    <x v="1"/>
    <n v="3"/>
    <n v="3"/>
    <s v="Medical"/>
    <n v="680"/>
    <n v="3"/>
    <x v="0"/>
    <n v="71"/>
    <n v="3"/>
    <x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  <x v="2"/>
    <x v="1"/>
    <s v="0-2 yrs"/>
    <x v="1"/>
    <s v="Satisfied"/>
    <n v="24996"/>
  </r>
  <r>
    <n v="53"/>
    <x v="1"/>
    <s v="Travel_Rarely"/>
    <n v="238"/>
    <x v="0"/>
    <n v="1"/>
    <n v="1"/>
    <s v="Medical"/>
    <n v="682"/>
    <n v="4"/>
    <x v="0"/>
    <n v="34"/>
    <n v="3"/>
    <x v="0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  <x v="1"/>
    <x v="2"/>
    <s v="10+ yrs"/>
    <x v="1"/>
    <s v="Very Dissatisfied"/>
    <n v="100572"/>
  </r>
  <r>
    <n v="34"/>
    <x v="1"/>
    <s v="Travel_Rarely"/>
    <n v="1397"/>
    <x v="1"/>
    <n v="1"/>
    <n v="5"/>
    <s v="Life Sciences"/>
    <n v="683"/>
    <n v="2"/>
    <x v="1"/>
    <n v="42"/>
    <n v="3"/>
    <x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  <x v="2"/>
    <x v="1"/>
    <s v="6-10 yrs"/>
    <x v="0"/>
    <s v="Very Satisfied"/>
    <n v="32292"/>
  </r>
  <r>
    <n v="45"/>
    <x v="0"/>
    <s v="Travel_Frequently"/>
    <n v="306"/>
    <x v="0"/>
    <n v="26"/>
    <n v="4"/>
    <s v="Life Sciences"/>
    <n v="684"/>
    <n v="1"/>
    <x v="0"/>
    <n v="100"/>
    <n v="3"/>
    <x v="0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  <x v="0"/>
    <x v="0"/>
    <s v="0-2 yrs"/>
    <x v="0"/>
    <s v="Very Dissatisfied"/>
    <n v="51432"/>
  </r>
  <r>
    <n v="26"/>
    <x v="1"/>
    <s v="Travel_Rarely"/>
    <n v="991"/>
    <x v="1"/>
    <n v="6"/>
    <n v="3"/>
    <s v="Life Sciences"/>
    <n v="686"/>
    <n v="3"/>
    <x v="0"/>
    <n v="71"/>
    <n v="3"/>
    <x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  <x v="2"/>
    <x v="1"/>
    <s v="3-5 yrs"/>
    <x v="0"/>
    <s v="Very Satisfied"/>
    <n v="31908"/>
  </r>
  <r>
    <n v="37"/>
    <x v="1"/>
    <s v="Travel_Rarely"/>
    <n v="482"/>
    <x v="1"/>
    <n v="3"/>
    <n v="3"/>
    <s v="Other"/>
    <n v="689"/>
    <n v="3"/>
    <x v="1"/>
    <n v="36"/>
    <n v="3"/>
    <x v="2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  <x v="0"/>
    <x v="2"/>
    <s v="6-10 yrs"/>
    <x v="0"/>
    <s v="Satisfied"/>
    <n v="113208"/>
  </r>
  <r>
    <n v="29"/>
    <x v="1"/>
    <s v="Travel_Rarely"/>
    <n v="1176"/>
    <x v="0"/>
    <n v="3"/>
    <n v="2"/>
    <s v="Medical"/>
    <n v="690"/>
    <n v="2"/>
    <x v="0"/>
    <n v="62"/>
    <n v="3"/>
    <x v="0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  <x v="2"/>
    <x v="0"/>
    <s v="6-10 yrs"/>
    <x v="0"/>
    <s v="Satisfied"/>
    <n v="66732"/>
  </r>
  <r>
    <n v="35"/>
    <x v="1"/>
    <s v="Travel_Rarely"/>
    <n v="1017"/>
    <x v="1"/>
    <n v="6"/>
    <n v="4"/>
    <s v="Life Sciences"/>
    <n v="691"/>
    <n v="2"/>
    <x v="1"/>
    <n v="82"/>
    <n v="1"/>
    <x v="0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x v="2"/>
    <x v="2"/>
    <s v="10+ yrs"/>
    <x v="0"/>
    <s v="Very Satisfied"/>
    <n v="79752"/>
  </r>
  <r>
    <n v="33"/>
    <x v="1"/>
    <s v="Travel_Frequently"/>
    <n v="1296"/>
    <x v="1"/>
    <n v="6"/>
    <n v="3"/>
    <s v="Life Sciences"/>
    <n v="692"/>
    <n v="3"/>
    <x v="1"/>
    <n v="30"/>
    <n v="3"/>
    <x v="0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x v="2"/>
    <x v="2"/>
    <s v="10+ yrs"/>
    <x v="1"/>
    <s v="Very Satisfied"/>
    <n v="92700"/>
  </r>
  <r>
    <n v="54"/>
    <x v="1"/>
    <s v="Travel_Rarely"/>
    <n v="397"/>
    <x v="2"/>
    <n v="19"/>
    <n v="4"/>
    <s v="Medical"/>
    <n v="698"/>
    <n v="3"/>
    <x v="1"/>
    <n v="88"/>
    <n v="3"/>
    <x v="2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  <x v="1"/>
    <x v="3"/>
    <s v="6-10 yrs"/>
    <x v="0"/>
    <s v="Dissatisfied"/>
    <n v="128700"/>
  </r>
  <r>
    <n v="36"/>
    <x v="1"/>
    <s v="Travel_Rarely"/>
    <n v="913"/>
    <x v="1"/>
    <n v="9"/>
    <n v="2"/>
    <s v="Medical"/>
    <n v="699"/>
    <n v="2"/>
    <x v="1"/>
    <n v="48"/>
    <n v="2"/>
    <x v="0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x v="0"/>
    <x v="2"/>
    <s v="3-5 yrs"/>
    <x v="0"/>
    <s v="Dissatisfied"/>
    <n v="106164"/>
  </r>
  <r>
    <n v="27"/>
    <x v="1"/>
    <s v="Travel_Rarely"/>
    <n v="1115"/>
    <x v="1"/>
    <n v="3"/>
    <n v="4"/>
    <s v="Medical"/>
    <n v="700"/>
    <n v="1"/>
    <x v="1"/>
    <n v="54"/>
    <n v="2"/>
    <x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  <x v="2"/>
    <x v="1"/>
    <s v="3-5 yrs"/>
    <x v="0"/>
    <s v="Very Satisfied"/>
    <n v="24540"/>
  </r>
  <r>
    <n v="20"/>
    <x v="0"/>
    <s v="Travel_Rarely"/>
    <n v="1362"/>
    <x v="1"/>
    <n v="10"/>
    <n v="1"/>
    <s v="Medical"/>
    <n v="701"/>
    <n v="4"/>
    <x v="1"/>
    <n v="32"/>
    <n v="3"/>
    <x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  <x v="3"/>
    <x v="1"/>
    <s v="0-2 yrs"/>
    <x v="0"/>
    <s v="Satisfied"/>
    <n v="12108"/>
  </r>
  <r>
    <n v="33"/>
    <x v="0"/>
    <s v="Travel_Frequently"/>
    <n v="1076"/>
    <x v="1"/>
    <n v="3"/>
    <n v="3"/>
    <s v="Life Sciences"/>
    <n v="702"/>
    <n v="1"/>
    <x v="1"/>
    <n v="70"/>
    <n v="3"/>
    <x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  <x v="2"/>
    <x v="0"/>
    <s v="6-10 yrs"/>
    <x v="0"/>
    <s v="Very Dissatisfied"/>
    <n v="40176"/>
  </r>
  <r>
    <n v="35"/>
    <x v="1"/>
    <s v="Non-Travel"/>
    <n v="727"/>
    <x v="1"/>
    <n v="3"/>
    <n v="3"/>
    <s v="Life Sciences"/>
    <n v="704"/>
    <n v="3"/>
    <x v="1"/>
    <n v="41"/>
    <n v="2"/>
    <x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  <x v="2"/>
    <x v="1"/>
    <s v="0-2 yrs"/>
    <x v="0"/>
    <s v="Satisfied"/>
    <n v="15372"/>
  </r>
  <r>
    <n v="23"/>
    <x v="1"/>
    <s v="Travel_Rarely"/>
    <n v="885"/>
    <x v="1"/>
    <n v="4"/>
    <n v="3"/>
    <s v="Medical"/>
    <n v="705"/>
    <n v="1"/>
    <x v="1"/>
    <n v="58"/>
    <n v="4"/>
    <x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  <x v="3"/>
    <x v="1"/>
    <s v="3-5 yrs"/>
    <x v="0"/>
    <s v="Very Dissatisfied"/>
    <n v="33828"/>
  </r>
  <r>
    <n v="25"/>
    <x v="1"/>
    <s v="Travel_Rarely"/>
    <n v="810"/>
    <x v="0"/>
    <n v="8"/>
    <n v="3"/>
    <s v="Life Sciences"/>
    <n v="707"/>
    <n v="4"/>
    <x v="1"/>
    <n v="57"/>
    <n v="4"/>
    <x v="0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  <x v="3"/>
    <x v="0"/>
    <s v="3-5 yrs"/>
    <x v="1"/>
    <s v="Dissatisfied"/>
    <n v="58212"/>
  </r>
  <r>
    <n v="38"/>
    <x v="1"/>
    <s v="Travel_Rarely"/>
    <n v="243"/>
    <x v="0"/>
    <n v="7"/>
    <n v="4"/>
    <s v="Marketing"/>
    <n v="709"/>
    <n v="4"/>
    <x v="0"/>
    <n v="46"/>
    <n v="2"/>
    <x v="0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  <x v="0"/>
    <x v="0"/>
    <s v="6-10 yrs"/>
    <x v="1"/>
    <s v="Very Satisfied"/>
    <n v="48336"/>
  </r>
  <r>
    <n v="29"/>
    <x v="1"/>
    <s v="Travel_Frequently"/>
    <n v="806"/>
    <x v="1"/>
    <n v="1"/>
    <n v="4"/>
    <s v="Life Sciences"/>
    <n v="710"/>
    <n v="2"/>
    <x v="1"/>
    <n v="76"/>
    <n v="1"/>
    <x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x v="2"/>
    <x v="1"/>
    <s v="6-10 yrs"/>
    <x v="0"/>
    <s v="Very Satisfied"/>
    <n v="32640"/>
  </r>
  <r>
    <n v="48"/>
    <x v="1"/>
    <s v="Travel_Rarely"/>
    <n v="817"/>
    <x v="0"/>
    <n v="2"/>
    <n v="1"/>
    <s v="Marketing"/>
    <n v="712"/>
    <n v="2"/>
    <x v="1"/>
    <n v="56"/>
    <n v="4"/>
    <x v="0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  <x v="1"/>
    <x v="2"/>
    <s v="0-2 yrs"/>
    <x v="0"/>
    <s v="Dissatisfied"/>
    <n v="97440"/>
  </r>
  <r>
    <n v="27"/>
    <x v="1"/>
    <s v="Travel_Frequently"/>
    <n v="1410"/>
    <x v="0"/>
    <n v="3"/>
    <n v="1"/>
    <s v="Medical"/>
    <n v="714"/>
    <n v="4"/>
    <x v="0"/>
    <n v="71"/>
    <n v="4"/>
    <x v="0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  <x v="2"/>
    <x v="0"/>
    <s v="6-10 yrs"/>
    <x v="1"/>
    <s v="Very Satisfied"/>
    <n v="55764"/>
  </r>
  <r>
    <n v="37"/>
    <x v="1"/>
    <s v="Travel_Rarely"/>
    <n v="1225"/>
    <x v="1"/>
    <n v="10"/>
    <n v="2"/>
    <s v="Life Sciences"/>
    <n v="715"/>
    <n v="4"/>
    <x v="1"/>
    <n v="80"/>
    <n v="4"/>
    <x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  <x v="0"/>
    <x v="0"/>
    <s v="0-2 yrs"/>
    <x v="0"/>
    <s v="Very Satisfied"/>
    <n v="56160"/>
  </r>
  <r>
    <n v="50"/>
    <x v="1"/>
    <s v="Travel_Rarely"/>
    <n v="1207"/>
    <x v="1"/>
    <n v="28"/>
    <n v="1"/>
    <s v="Medical"/>
    <n v="716"/>
    <n v="4"/>
    <x v="1"/>
    <n v="74"/>
    <n v="4"/>
    <x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  <x v="1"/>
    <x v="0"/>
    <s v="10+ yrs"/>
    <x v="0"/>
    <s v="Satisfied"/>
    <n v="38652"/>
  </r>
  <r>
    <n v="34"/>
    <x v="1"/>
    <s v="Travel_Rarely"/>
    <n v="1442"/>
    <x v="1"/>
    <n v="9"/>
    <n v="3"/>
    <s v="Medical"/>
    <n v="717"/>
    <n v="4"/>
    <x v="0"/>
    <n v="46"/>
    <n v="2"/>
    <x v="2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  <x v="2"/>
    <x v="2"/>
    <s v="6-10 yrs"/>
    <x v="0"/>
    <s v="Dissatisfied"/>
    <n v="103452"/>
  </r>
  <r>
    <n v="24"/>
    <x v="0"/>
    <s v="Travel_Rarely"/>
    <n v="693"/>
    <x v="0"/>
    <n v="3"/>
    <n v="2"/>
    <s v="Life Sciences"/>
    <n v="720"/>
    <n v="1"/>
    <x v="0"/>
    <n v="65"/>
    <n v="3"/>
    <x v="0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  <x v="3"/>
    <x v="0"/>
    <s v="0-2 yrs"/>
    <x v="0"/>
    <s v="Satisfied"/>
    <n v="54924"/>
  </r>
  <r>
    <n v="39"/>
    <x v="1"/>
    <s v="Travel_Rarely"/>
    <n v="408"/>
    <x v="1"/>
    <n v="2"/>
    <n v="4"/>
    <s v="Technical Degree"/>
    <n v="721"/>
    <n v="4"/>
    <x v="0"/>
    <n v="80"/>
    <n v="2"/>
    <x v="0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x v="0"/>
    <x v="0"/>
    <s v="10+ yrs"/>
    <x v="0"/>
    <s v="Satisfied"/>
    <n v="54636"/>
  </r>
  <r>
    <n v="32"/>
    <x v="1"/>
    <s v="Travel_Rarely"/>
    <n v="929"/>
    <x v="0"/>
    <n v="10"/>
    <n v="3"/>
    <s v="Marketing"/>
    <n v="722"/>
    <n v="4"/>
    <x v="1"/>
    <n v="55"/>
    <n v="3"/>
    <x v="0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  <x v="2"/>
    <x v="0"/>
    <s v="6-10 yrs"/>
    <x v="0"/>
    <s v="Very Satisfied"/>
    <n v="64752"/>
  </r>
  <r>
    <n v="50"/>
    <x v="0"/>
    <s v="Travel_Frequently"/>
    <n v="562"/>
    <x v="0"/>
    <n v="8"/>
    <n v="2"/>
    <s v="Technical Degree"/>
    <n v="723"/>
    <n v="2"/>
    <x v="1"/>
    <n v="50"/>
    <n v="3"/>
    <x v="0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  <x v="1"/>
    <x v="2"/>
    <s v="3-5 yrs"/>
    <x v="0"/>
    <s v="Satisfied"/>
    <n v="81552"/>
  </r>
  <r>
    <n v="38"/>
    <x v="1"/>
    <s v="Travel_Rarely"/>
    <n v="827"/>
    <x v="1"/>
    <n v="1"/>
    <n v="4"/>
    <s v="Life Sciences"/>
    <n v="724"/>
    <n v="2"/>
    <x v="0"/>
    <n v="33"/>
    <n v="4"/>
    <x v="0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  <x v="0"/>
    <x v="2"/>
    <s v="6-10 yrs"/>
    <x v="0"/>
    <s v="Very Satisfied"/>
    <n v="91500"/>
  </r>
  <r>
    <n v="27"/>
    <x v="1"/>
    <s v="Travel_Rarely"/>
    <n v="608"/>
    <x v="1"/>
    <n v="1"/>
    <n v="2"/>
    <s v="Life Sciences"/>
    <n v="725"/>
    <n v="3"/>
    <x v="0"/>
    <n v="68"/>
    <n v="3"/>
    <x v="2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  <x v="2"/>
    <x v="2"/>
    <s v="6-10 yrs"/>
    <x v="0"/>
    <s v="Very Dissatisfied"/>
    <n v="88944"/>
  </r>
  <r>
    <n v="32"/>
    <x v="1"/>
    <s v="Travel_Rarely"/>
    <n v="1018"/>
    <x v="1"/>
    <n v="3"/>
    <n v="2"/>
    <s v="Life Sciences"/>
    <n v="727"/>
    <n v="3"/>
    <x v="0"/>
    <n v="39"/>
    <n v="3"/>
    <x v="2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  <x v="2"/>
    <x v="3"/>
    <s v="6-10 yrs"/>
    <x v="0"/>
    <s v="Very Satisfied"/>
    <n v="133908"/>
  </r>
  <r>
    <n v="47"/>
    <x v="1"/>
    <s v="Travel_Rarely"/>
    <n v="703"/>
    <x v="0"/>
    <n v="14"/>
    <n v="4"/>
    <s v="Marketing"/>
    <n v="728"/>
    <n v="4"/>
    <x v="1"/>
    <n v="42"/>
    <n v="3"/>
    <x v="0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  <x v="1"/>
    <x v="0"/>
    <s v="6-10 yrs"/>
    <x v="0"/>
    <s v="Very Dissatisfied"/>
    <n v="59520"/>
  </r>
  <r>
    <n v="40"/>
    <x v="1"/>
    <s v="Travel_Frequently"/>
    <n v="580"/>
    <x v="0"/>
    <n v="5"/>
    <n v="4"/>
    <s v="Life Sciences"/>
    <n v="729"/>
    <n v="4"/>
    <x v="1"/>
    <n v="48"/>
    <n v="2"/>
    <x v="2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x v="0"/>
    <x v="3"/>
    <s v="10+ yrs"/>
    <x v="1"/>
    <s v="Very Dissatisfied"/>
    <n v="125700"/>
  </r>
  <r>
    <n v="53"/>
    <x v="1"/>
    <s v="Travel_Rarely"/>
    <n v="970"/>
    <x v="1"/>
    <n v="7"/>
    <n v="3"/>
    <s v="Life Sciences"/>
    <n v="730"/>
    <n v="3"/>
    <x v="1"/>
    <n v="59"/>
    <n v="4"/>
    <x v="3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x v="1"/>
    <x v="3"/>
    <s v="3-5 yrs"/>
    <x v="0"/>
    <s v="Satisfied"/>
    <n v="177768"/>
  </r>
  <r>
    <n v="41"/>
    <x v="1"/>
    <s v="Travel_Rarely"/>
    <n v="427"/>
    <x v="2"/>
    <n v="10"/>
    <n v="4"/>
    <s v="Human Resources"/>
    <n v="731"/>
    <n v="2"/>
    <x v="1"/>
    <n v="73"/>
    <n v="2"/>
    <x v="4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x v="0"/>
    <x v="3"/>
    <s v="10+ yrs"/>
    <x v="0"/>
    <s v="Very Satisfied"/>
    <n v="229692"/>
  </r>
  <r>
    <n v="60"/>
    <x v="1"/>
    <s v="Travel_Rarely"/>
    <n v="1179"/>
    <x v="0"/>
    <n v="16"/>
    <n v="4"/>
    <s v="Marketing"/>
    <n v="732"/>
    <n v="1"/>
    <x v="1"/>
    <n v="84"/>
    <n v="3"/>
    <x v="0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  <x v="1"/>
    <x v="0"/>
    <s v="0-2 yrs"/>
    <x v="0"/>
    <s v="Very Dissatisfied"/>
    <n v="64860"/>
  </r>
  <r>
    <n v="27"/>
    <x v="1"/>
    <s v="Travel_Frequently"/>
    <n v="294"/>
    <x v="1"/>
    <n v="10"/>
    <n v="2"/>
    <s v="Life Sciences"/>
    <n v="733"/>
    <n v="4"/>
    <x v="1"/>
    <n v="32"/>
    <n v="3"/>
    <x v="2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  <x v="2"/>
    <x v="2"/>
    <s v="6-10 yrs"/>
    <x v="1"/>
    <s v="Very Dissatisfied"/>
    <n v="105516"/>
  </r>
  <r>
    <n v="41"/>
    <x v="1"/>
    <s v="Travel_Rarely"/>
    <n v="314"/>
    <x v="2"/>
    <n v="1"/>
    <n v="3"/>
    <s v="Human Resources"/>
    <n v="734"/>
    <n v="4"/>
    <x v="1"/>
    <n v="59"/>
    <n v="2"/>
    <x v="4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x v="0"/>
    <x v="3"/>
    <s v="10+ yrs"/>
    <x v="0"/>
    <s v="Satisfied"/>
    <n v="230268"/>
  </r>
  <r>
    <n v="50"/>
    <x v="1"/>
    <s v="Travel_Rarely"/>
    <n v="316"/>
    <x v="0"/>
    <n v="8"/>
    <n v="4"/>
    <s v="Marketing"/>
    <n v="738"/>
    <n v="4"/>
    <x v="1"/>
    <n v="54"/>
    <n v="3"/>
    <x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  <x v="1"/>
    <x v="0"/>
    <s v="0-2 yrs"/>
    <x v="0"/>
    <s v="Dissatisfied"/>
    <n v="46500"/>
  </r>
  <r>
    <n v="28"/>
    <x v="0"/>
    <s v="Travel_Rarely"/>
    <n v="654"/>
    <x v="1"/>
    <n v="1"/>
    <n v="2"/>
    <s v="Life Sciences"/>
    <n v="741"/>
    <n v="1"/>
    <x v="0"/>
    <n v="67"/>
    <n v="1"/>
    <x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  <x v="2"/>
    <x v="1"/>
    <s v="6-10 yrs"/>
    <x v="0"/>
    <s v="Dissatisfied"/>
    <n v="26592"/>
  </r>
  <r>
    <n v="36"/>
    <x v="1"/>
    <s v="Non-Travel"/>
    <n v="427"/>
    <x v="1"/>
    <n v="8"/>
    <n v="3"/>
    <s v="Life Sciences"/>
    <n v="742"/>
    <n v="1"/>
    <x v="0"/>
    <n v="63"/>
    <n v="4"/>
    <x v="2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x v="0"/>
    <x v="3"/>
    <s v="6-10 yrs"/>
    <x v="0"/>
    <s v="Very Dissatisfied"/>
    <n v="140556"/>
  </r>
  <r>
    <n v="38"/>
    <x v="1"/>
    <s v="Travel_Rarely"/>
    <n v="168"/>
    <x v="1"/>
    <n v="1"/>
    <n v="3"/>
    <s v="Life Sciences"/>
    <n v="743"/>
    <n v="3"/>
    <x v="0"/>
    <n v="81"/>
    <n v="3"/>
    <x v="2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  <x v="0"/>
    <x v="2"/>
    <s v="0-2 yrs"/>
    <x v="0"/>
    <s v="Satisfied"/>
    <n v="94332"/>
  </r>
  <r>
    <n v="44"/>
    <x v="1"/>
    <s v="Non-Travel"/>
    <n v="381"/>
    <x v="1"/>
    <n v="24"/>
    <n v="3"/>
    <s v="Medical"/>
    <n v="744"/>
    <n v="1"/>
    <x v="1"/>
    <n v="49"/>
    <n v="1"/>
    <x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  <x v="0"/>
    <x v="0"/>
    <s v="3-5 yrs"/>
    <x v="0"/>
    <s v="Satisfied"/>
    <n v="44496"/>
  </r>
  <r>
    <n v="47"/>
    <x v="1"/>
    <s v="Travel_Frequently"/>
    <n v="217"/>
    <x v="0"/>
    <n v="3"/>
    <n v="3"/>
    <s v="Medical"/>
    <n v="746"/>
    <n v="4"/>
    <x v="0"/>
    <n v="49"/>
    <n v="3"/>
    <x v="3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x v="1"/>
    <x v="3"/>
    <s v="10+ yrs"/>
    <x v="0"/>
    <s v="Satisfied"/>
    <n v="165240"/>
  </r>
  <r>
    <n v="30"/>
    <x v="1"/>
    <s v="Travel_Rarely"/>
    <n v="501"/>
    <x v="0"/>
    <n v="27"/>
    <n v="5"/>
    <s v="Marketing"/>
    <n v="747"/>
    <n v="3"/>
    <x v="1"/>
    <n v="99"/>
    <n v="3"/>
    <x v="0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x v="2"/>
    <x v="0"/>
    <s v="6-10 yrs"/>
    <x v="1"/>
    <s v="Very Satisfied"/>
    <n v="63648"/>
  </r>
  <r>
    <n v="29"/>
    <x v="1"/>
    <s v="Travel_Rarely"/>
    <n v="1396"/>
    <x v="0"/>
    <n v="10"/>
    <n v="3"/>
    <s v="Life Sciences"/>
    <n v="749"/>
    <n v="3"/>
    <x v="1"/>
    <n v="99"/>
    <n v="3"/>
    <x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  <x v="2"/>
    <x v="1"/>
    <s v="0-2 yrs"/>
    <x v="0"/>
    <s v="Satisfied"/>
    <n v="31704"/>
  </r>
  <r>
    <n v="42"/>
    <x v="0"/>
    <s v="Travel_Frequently"/>
    <n v="933"/>
    <x v="1"/>
    <n v="19"/>
    <n v="3"/>
    <s v="Medical"/>
    <n v="752"/>
    <n v="3"/>
    <x v="1"/>
    <n v="57"/>
    <n v="4"/>
    <x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  <x v="0"/>
    <x v="1"/>
    <s v="0-2 yrs"/>
    <x v="0"/>
    <s v="Satisfied"/>
    <n v="33108"/>
  </r>
  <r>
    <n v="43"/>
    <x v="1"/>
    <s v="Travel_Frequently"/>
    <n v="775"/>
    <x v="0"/>
    <n v="15"/>
    <n v="3"/>
    <s v="Life Sciences"/>
    <n v="754"/>
    <n v="4"/>
    <x v="1"/>
    <n v="47"/>
    <n v="2"/>
    <x v="0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  <x v="0"/>
    <x v="2"/>
    <s v="0-2 yrs"/>
    <x v="0"/>
    <s v="Very Satisfied"/>
    <n v="81648"/>
  </r>
  <r>
    <n v="34"/>
    <x v="1"/>
    <s v="Travel_Rarely"/>
    <n v="970"/>
    <x v="1"/>
    <n v="8"/>
    <n v="2"/>
    <s v="Medical"/>
    <n v="757"/>
    <n v="2"/>
    <x v="0"/>
    <n v="96"/>
    <n v="3"/>
    <x v="0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  <x v="2"/>
    <x v="2"/>
    <s v="3-5 yrs"/>
    <x v="0"/>
    <s v="Satisfied"/>
    <n v="73704"/>
  </r>
  <r>
    <n v="23"/>
    <x v="1"/>
    <s v="Travel_Rarely"/>
    <n v="650"/>
    <x v="1"/>
    <n v="9"/>
    <n v="1"/>
    <s v="Medical"/>
    <n v="758"/>
    <n v="2"/>
    <x v="1"/>
    <n v="37"/>
    <n v="3"/>
    <x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  <x v="3"/>
    <x v="1"/>
    <s v="3-5 yrs"/>
    <x v="0"/>
    <s v="Very Dissatisfied"/>
    <n v="30000"/>
  </r>
  <r>
    <n v="39"/>
    <x v="1"/>
    <s v="Travel_Rarely"/>
    <n v="141"/>
    <x v="2"/>
    <n v="3"/>
    <n v="3"/>
    <s v="Human Resources"/>
    <n v="760"/>
    <n v="3"/>
    <x v="0"/>
    <n v="44"/>
    <n v="4"/>
    <x v="0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  <x v="0"/>
    <x v="2"/>
    <s v="6-10 yrs"/>
    <x v="0"/>
    <s v="Dissatisfied"/>
    <n v="76668"/>
  </r>
  <r>
    <n v="56"/>
    <x v="1"/>
    <s v="Travel_Rarely"/>
    <n v="832"/>
    <x v="1"/>
    <n v="9"/>
    <n v="3"/>
    <s v="Medical"/>
    <n v="762"/>
    <n v="3"/>
    <x v="1"/>
    <n v="81"/>
    <n v="3"/>
    <x v="3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x v="1"/>
    <x v="3"/>
    <s v="6-10 yrs"/>
    <x v="0"/>
    <s v="Very Satisfied"/>
    <n v="133236"/>
  </r>
  <r>
    <n v="40"/>
    <x v="1"/>
    <s v="Travel_Rarely"/>
    <n v="804"/>
    <x v="1"/>
    <n v="2"/>
    <n v="1"/>
    <s v="Medical"/>
    <n v="763"/>
    <n v="4"/>
    <x v="0"/>
    <n v="86"/>
    <n v="2"/>
    <x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  <x v="0"/>
    <x v="1"/>
    <s v="3-5 yrs"/>
    <x v="1"/>
    <s v="Very Satisfied"/>
    <n v="28104"/>
  </r>
  <r>
    <n v="27"/>
    <x v="1"/>
    <s v="Travel_Rarely"/>
    <n v="975"/>
    <x v="1"/>
    <n v="7"/>
    <n v="3"/>
    <s v="Medical"/>
    <n v="764"/>
    <n v="4"/>
    <x v="0"/>
    <n v="55"/>
    <n v="2"/>
    <x v="0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  <x v="2"/>
    <x v="2"/>
    <s v="6-10 yrs"/>
    <x v="0"/>
    <s v="Very Dissatisfied"/>
    <n v="81732"/>
  </r>
  <r>
    <n v="29"/>
    <x v="1"/>
    <s v="Travel_Rarely"/>
    <n v="1090"/>
    <x v="0"/>
    <n v="10"/>
    <n v="3"/>
    <s v="Marketing"/>
    <n v="766"/>
    <n v="4"/>
    <x v="1"/>
    <n v="83"/>
    <n v="3"/>
    <x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  <x v="2"/>
    <x v="1"/>
    <s v="0-2 yrs"/>
    <x v="0"/>
    <s v="Dissatisfied"/>
    <n v="27564"/>
  </r>
  <r>
    <n v="53"/>
    <x v="1"/>
    <s v="Travel_Rarely"/>
    <n v="346"/>
    <x v="1"/>
    <n v="6"/>
    <n v="3"/>
    <s v="Life Sciences"/>
    <n v="769"/>
    <n v="4"/>
    <x v="1"/>
    <n v="86"/>
    <n v="3"/>
    <x v="0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  <x v="1"/>
    <x v="1"/>
    <s v="0-2 yrs"/>
    <x v="0"/>
    <s v="Very Satisfied"/>
    <n v="29400"/>
  </r>
  <r>
    <n v="35"/>
    <x v="1"/>
    <s v="Non-Travel"/>
    <n v="1225"/>
    <x v="1"/>
    <n v="2"/>
    <n v="4"/>
    <s v="Life Sciences"/>
    <n v="771"/>
    <n v="4"/>
    <x v="0"/>
    <n v="61"/>
    <n v="3"/>
    <x v="0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  <x v="2"/>
    <x v="0"/>
    <s v="0-2 yrs"/>
    <x v="0"/>
    <s v="Very Dissatisfied"/>
    <n v="61116"/>
  </r>
  <r>
    <n v="32"/>
    <x v="1"/>
    <s v="Travel_Frequently"/>
    <n v="430"/>
    <x v="1"/>
    <n v="24"/>
    <n v="4"/>
    <s v="Life Sciences"/>
    <n v="772"/>
    <n v="1"/>
    <x v="1"/>
    <n v="80"/>
    <n v="3"/>
    <x v="0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x v="2"/>
    <x v="0"/>
    <s v="6-10 yrs"/>
    <x v="0"/>
    <s v="Very Satisfied"/>
    <n v="63708"/>
  </r>
  <r>
    <n v="38"/>
    <x v="1"/>
    <s v="Travel_Rarely"/>
    <n v="268"/>
    <x v="1"/>
    <n v="2"/>
    <n v="5"/>
    <s v="Medical"/>
    <n v="773"/>
    <n v="4"/>
    <x v="1"/>
    <n v="92"/>
    <n v="3"/>
    <x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  <x v="0"/>
    <x v="0"/>
    <s v="0-2 yrs"/>
    <x v="0"/>
    <s v="Satisfied"/>
    <n v="36684"/>
  </r>
  <r>
    <n v="34"/>
    <x v="1"/>
    <s v="Travel_Rarely"/>
    <n v="167"/>
    <x v="1"/>
    <n v="8"/>
    <n v="5"/>
    <s v="Life Sciences"/>
    <n v="775"/>
    <n v="2"/>
    <x v="0"/>
    <n v="32"/>
    <n v="3"/>
    <x v="0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  <x v="2"/>
    <x v="0"/>
    <s v="0-2 yrs"/>
    <x v="0"/>
    <s v="Very Dissatisfied"/>
    <n v="61452"/>
  </r>
  <r>
    <n v="52"/>
    <x v="1"/>
    <s v="Travel_Rarely"/>
    <n v="621"/>
    <x v="0"/>
    <n v="3"/>
    <n v="4"/>
    <s v="Marketing"/>
    <n v="776"/>
    <n v="3"/>
    <x v="1"/>
    <n v="31"/>
    <n v="2"/>
    <x v="3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x v="1"/>
    <x v="3"/>
    <s v="10+ yrs"/>
    <x v="0"/>
    <s v="Very Dissatisfied"/>
    <n v="202272"/>
  </r>
  <r>
    <n v="33"/>
    <x v="0"/>
    <s v="Travel_Rarely"/>
    <n v="527"/>
    <x v="1"/>
    <n v="1"/>
    <n v="4"/>
    <s v="Other"/>
    <n v="780"/>
    <n v="4"/>
    <x v="1"/>
    <n v="63"/>
    <n v="3"/>
    <x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  <x v="2"/>
    <x v="1"/>
    <s v="6-10 yrs"/>
    <x v="0"/>
    <s v="Very Satisfied"/>
    <n v="32232"/>
  </r>
  <r>
    <n v="25"/>
    <x v="1"/>
    <s v="Travel_Rarely"/>
    <n v="883"/>
    <x v="0"/>
    <n v="26"/>
    <n v="1"/>
    <s v="Medical"/>
    <n v="781"/>
    <n v="3"/>
    <x v="0"/>
    <n v="32"/>
    <n v="3"/>
    <x v="0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  <x v="3"/>
    <x v="2"/>
    <s v="6-10 yrs"/>
    <x v="1"/>
    <s v="Very Satisfied"/>
    <n v="74160"/>
  </r>
  <r>
    <n v="45"/>
    <x v="1"/>
    <s v="Travel_Rarely"/>
    <n v="954"/>
    <x v="0"/>
    <n v="2"/>
    <n v="2"/>
    <s v="Technical Degree"/>
    <n v="783"/>
    <n v="2"/>
    <x v="1"/>
    <n v="46"/>
    <n v="1"/>
    <x v="0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  <x v="0"/>
    <x v="2"/>
    <s v="6-10 yrs"/>
    <x v="0"/>
    <s v="Satisfied"/>
    <n v="79584"/>
  </r>
  <r>
    <n v="23"/>
    <x v="1"/>
    <s v="Travel_Rarely"/>
    <n v="310"/>
    <x v="1"/>
    <n v="10"/>
    <n v="1"/>
    <s v="Medical"/>
    <n v="784"/>
    <n v="1"/>
    <x v="1"/>
    <n v="79"/>
    <n v="4"/>
    <x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  <x v="3"/>
    <x v="0"/>
    <s v="0-2 yrs"/>
    <x v="0"/>
    <s v="Satisfied"/>
    <n v="42060"/>
  </r>
  <r>
    <n v="47"/>
    <x v="0"/>
    <s v="Travel_Frequently"/>
    <n v="719"/>
    <x v="0"/>
    <n v="27"/>
    <n v="2"/>
    <s v="Life Sciences"/>
    <n v="785"/>
    <n v="2"/>
    <x v="0"/>
    <n v="77"/>
    <n v="4"/>
    <x v="0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  <x v="1"/>
    <x v="2"/>
    <s v="3-5 yrs"/>
    <x v="0"/>
    <s v="Satisfied"/>
    <n v="76764"/>
  </r>
  <r>
    <n v="34"/>
    <x v="1"/>
    <s v="Travel_Rarely"/>
    <n v="304"/>
    <x v="0"/>
    <n v="2"/>
    <n v="3"/>
    <s v="Other"/>
    <n v="786"/>
    <n v="4"/>
    <x v="1"/>
    <n v="60"/>
    <n v="3"/>
    <x v="0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  <x v="2"/>
    <x v="2"/>
    <s v="6-10 yrs"/>
    <x v="1"/>
    <s v="Very Satisfied"/>
    <n v="75288"/>
  </r>
  <r>
    <n v="55"/>
    <x v="0"/>
    <s v="Travel_Rarely"/>
    <n v="725"/>
    <x v="1"/>
    <n v="2"/>
    <n v="3"/>
    <s v="Medical"/>
    <n v="787"/>
    <n v="4"/>
    <x v="1"/>
    <n v="78"/>
    <n v="3"/>
    <x v="4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x v="1"/>
    <x v="3"/>
    <s v="3-5 yrs"/>
    <x v="0"/>
    <s v="Very Dissatisfied"/>
    <n v="238308"/>
  </r>
  <r>
    <n v="36"/>
    <x v="1"/>
    <s v="Non-Travel"/>
    <n v="1434"/>
    <x v="0"/>
    <n v="8"/>
    <n v="4"/>
    <s v="Life Sciences"/>
    <n v="789"/>
    <n v="1"/>
    <x v="1"/>
    <n v="76"/>
    <n v="2"/>
    <x v="2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  <x v="0"/>
    <x v="2"/>
    <s v="6-10 yrs"/>
    <x v="0"/>
    <s v="Very Dissatisfied"/>
    <n v="91044"/>
  </r>
  <r>
    <n v="52"/>
    <x v="1"/>
    <s v="Non-Travel"/>
    <n v="715"/>
    <x v="1"/>
    <n v="19"/>
    <n v="4"/>
    <s v="Medical"/>
    <n v="791"/>
    <n v="4"/>
    <x v="1"/>
    <n v="41"/>
    <n v="3"/>
    <x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  <x v="1"/>
    <x v="0"/>
    <s v="3-5 yrs"/>
    <x v="0"/>
    <s v="Very Satisfied"/>
    <n v="51096"/>
  </r>
  <r>
    <n v="26"/>
    <x v="1"/>
    <s v="Travel_Frequently"/>
    <n v="575"/>
    <x v="1"/>
    <n v="1"/>
    <n v="2"/>
    <s v="Life Sciences"/>
    <n v="792"/>
    <n v="1"/>
    <x v="0"/>
    <n v="71"/>
    <n v="1"/>
    <x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  <x v="2"/>
    <x v="0"/>
    <s v="0-2 yrs"/>
    <x v="0"/>
    <s v="Very Satisfied"/>
    <n v="52368"/>
  </r>
  <r>
    <n v="29"/>
    <x v="1"/>
    <s v="Travel_Rarely"/>
    <n v="657"/>
    <x v="1"/>
    <n v="27"/>
    <n v="3"/>
    <s v="Medical"/>
    <n v="793"/>
    <n v="2"/>
    <x v="0"/>
    <n v="66"/>
    <n v="3"/>
    <x v="0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  <x v="2"/>
    <x v="0"/>
    <s v="6-10 yrs"/>
    <x v="0"/>
    <s v="Satisfied"/>
    <n v="52020"/>
  </r>
  <r>
    <n v="26"/>
    <x v="0"/>
    <s v="Travel_Rarely"/>
    <n v="1146"/>
    <x v="0"/>
    <n v="8"/>
    <n v="3"/>
    <s v="Technical Degree"/>
    <n v="796"/>
    <n v="4"/>
    <x v="1"/>
    <n v="38"/>
    <n v="2"/>
    <x v="0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  <x v="2"/>
    <x v="0"/>
    <s v="3-5 yrs"/>
    <x v="0"/>
    <s v="Very Dissatisfied"/>
    <n v="63912"/>
  </r>
  <r>
    <n v="34"/>
    <x v="1"/>
    <s v="Travel_Rarely"/>
    <n v="182"/>
    <x v="1"/>
    <n v="1"/>
    <n v="4"/>
    <s v="Life Sciences"/>
    <n v="797"/>
    <n v="2"/>
    <x v="0"/>
    <n v="72"/>
    <n v="4"/>
    <x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  <x v="2"/>
    <x v="0"/>
    <s v="3-5 yrs"/>
    <x v="0"/>
    <s v="Very Satisfied"/>
    <n v="39360"/>
  </r>
  <r>
    <n v="54"/>
    <x v="1"/>
    <s v="Travel_Rarely"/>
    <n v="376"/>
    <x v="1"/>
    <n v="19"/>
    <n v="4"/>
    <s v="Medical"/>
    <n v="799"/>
    <n v="4"/>
    <x v="0"/>
    <n v="95"/>
    <n v="3"/>
    <x v="0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  <x v="1"/>
    <x v="0"/>
    <s v="3-5 yrs"/>
    <x v="0"/>
    <s v="Very Dissatisfied"/>
    <n v="65820"/>
  </r>
  <r>
    <n v="27"/>
    <x v="1"/>
    <s v="Travel_Frequently"/>
    <n v="829"/>
    <x v="0"/>
    <n v="8"/>
    <n v="1"/>
    <s v="Marketing"/>
    <n v="800"/>
    <n v="3"/>
    <x v="1"/>
    <n v="84"/>
    <n v="3"/>
    <x v="0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  <x v="2"/>
    <x v="0"/>
    <s v="3-5 yrs"/>
    <x v="0"/>
    <s v="Very Satisfied"/>
    <n v="52104"/>
  </r>
  <r>
    <n v="37"/>
    <x v="1"/>
    <s v="Travel_Rarely"/>
    <n v="571"/>
    <x v="1"/>
    <n v="10"/>
    <n v="1"/>
    <s v="Life Sciences"/>
    <n v="802"/>
    <n v="4"/>
    <x v="0"/>
    <n v="82"/>
    <n v="3"/>
    <x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  <x v="0"/>
    <x v="1"/>
    <s v="3-5 yrs"/>
    <x v="0"/>
    <s v="Very Dissatisfied"/>
    <n v="33384"/>
  </r>
  <r>
    <n v="38"/>
    <x v="1"/>
    <s v="Travel_Frequently"/>
    <n v="240"/>
    <x v="1"/>
    <n v="2"/>
    <n v="4"/>
    <s v="Life Sciences"/>
    <n v="803"/>
    <n v="1"/>
    <x v="0"/>
    <n v="75"/>
    <n v="4"/>
    <x v="0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x v="0"/>
    <x v="0"/>
    <s v="10+ yrs"/>
    <x v="0"/>
    <s v="Very Dissatisfied"/>
    <n v="71760"/>
  </r>
  <r>
    <n v="34"/>
    <x v="1"/>
    <s v="Travel_Rarely"/>
    <n v="121"/>
    <x v="1"/>
    <n v="2"/>
    <n v="4"/>
    <s v="Medical"/>
    <n v="804"/>
    <n v="3"/>
    <x v="0"/>
    <n v="86"/>
    <n v="2"/>
    <x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  <x v="2"/>
    <x v="0"/>
    <s v="6-10 yrs"/>
    <x v="0"/>
    <s v="Very Dissatisfied"/>
    <n v="52572"/>
  </r>
  <r>
    <n v="35"/>
    <x v="1"/>
    <s v="Travel_Rarely"/>
    <n v="384"/>
    <x v="0"/>
    <n v="8"/>
    <n v="4"/>
    <s v="Life Sciences"/>
    <n v="805"/>
    <n v="1"/>
    <x v="0"/>
    <n v="72"/>
    <n v="3"/>
    <x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  <x v="2"/>
    <x v="1"/>
    <s v="3-5 yrs"/>
    <x v="0"/>
    <s v="Very Satisfied"/>
    <n v="30864"/>
  </r>
  <r>
    <n v="30"/>
    <x v="1"/>
    <s v="Travel_Rarely"/>
    <n v="921"/>
    <x v="1"/>
    <n v="1"/>
    <n v="3"/>
    <s v="Life Sciences"/>
    <n v="806"/>
    <n v="4"/>
    <x v="1"/>
    <n v="38"/>
    <n v="1"/>
    <x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  <x v="2"/>
    <x v="0"/>
    <s v="0-2 yrs"/>
    <x v="1"/>
    <s v="Satisfied"/>
    <n v="45996"/>
  </r>
  <r>
    <n v="40"/>
    <x v="1"/>
    <s v="Travel_Frequently"/>
    <n v="791"/>
    <x v="1"/>
    <n v="2"/>
    <n v="2"/>
    <s v="Medical"/>
    <n v="807"/>
    <n v="3"/>
    <x v="0"/>
    <n v="38"/>
    <n v="4"/>
    <x v="0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  <x v="0"/>
    <x v="0"/>
    <s v="6-10 yrs"/>
    <x v="1"/>
    <s v="Dissatisfied"/>
    <n v="50928"/>
  </r>
  <r>
    <n v="34"/>
    <x v="1"/>
    <s v="Travel_Rarely"/>
    <n v="1111"/>
    <x v="0"/>
    <n v="8"/>
    <n v="2"/>
    <s v="Life Sciences"/>
    <n v="808"/>
    <n v="3"/>
    <x v="0"/>
    <n v="93"/>
    <n v="3"/>
    <x v="0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  <x v="2"/>
    <x v="2"/>
    <s v="3-5 yrs"/>
    <x v="0"/>
    <s v="Very Dissatisfied"/>
    <n v="78000"/>
  </r>
  <r>
    <n v="42"/>
    <x v="1"/>
    <s v="Travel_Frequently"/>
    <n v="570"/>
    <x v="1"/>
    <n v="8"/>
    <n v="3"/>
    <s v="Life Sciences"/>
    <n v="809"/>
    <n v="2"/>
    <x v="1"/>
    <n v="66"/>
    <n v="3"/>
    <x v="4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x v="0"/>
    <x v="3"/>
    <s v="10+ yrs"/>
    <x v="0"/>
    <s v="Very Satisfied"/>
    <n v="221160"/>
  </r>
  <r>
    <n v="23"/>
    <x v="0"/>
    <s v="Travel_Rarely"/>
    <n v="1243"/>
    <x v="1"/>
    <n v="6"/>
    <n v="3"/>
    <s v="Life Sciences"/>
    <n v="811"/>
    <n v="3"/>
    <x v="1"/>
    <n v="63"/>
    <n v="4"/>
    <x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  <x v="3"/>
    <x v="1"/>
    <s v="0-2 yrs"/>
    <x v="1"/>
    <s v="Very Dissatisfied"/>
    <n v="19212"/>
  </r>
  <r>
    <n v="24"/>
    <x v="1"/>
    <s v="Non-Travel"/>
    <n v="1092"/>
    <x v="1"/>
    <n v="9"/>
    <n v="3"/>
    <s v="Life Sciences"/>
    <n v="812"/>
    <n v="3"/>
    <x v="1"/>
    <n v="60"/>
    <n v="2"/>
    <x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  <x v="3"/>
    <x v="1"/>
    <s v="0-2 yrs"/>
    <x v="0"/>
    <s v="Dissatisfied"/>
    <n v="32328"/>
  </r>
  <r>
    <n v="52"/>
    <x v="1"/>
    <s v="Travel_Rarely"/>
    <n v="1325"/>
    <x v="1"/>
    <n v="11"/>
    <n v="4"/>
    <s v="Life Sciences"/>
    <n v="813"/>
    <n v="4"/>
    <x v="0"/>
    <n v="82"/>
    <n v="3"/>
    <x v="0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  <x v="1"/>
    <x v="0"/>
    <s v="3-5 yrs"/>
    <x v="1"/>
    <s v="Satisfied"/>
    <n v="37788"/>
  </r>
  <r>
    <n v="50"/>
    <x v="1"/>
    <s v="Travel_Rarely"/>
    <n v="691"/>
    <x v="1"/>
    <n v="2"/>
    <n v="3"/>
    <s v="Medical"/>
    <n v="815"/>
    <n v="3"/>
    <x v="1"/>
    <n v="64"/>
    <n v="3"/>
    <x v="3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  <x v="1"/>
    <x v="3"/>
    <s v="3-5 yrs"/>
    <x v="0"/>
    <s v="Satisfied"/>
    <n v="211668"/>
  </r>
  <r>
    <n v="29"/>
    <x v="0"/>
    <s v="Travel_Rarely"/>
    <n v="805"/>
    <x v="1"/>
    <n v="1"/>
    <n v="2"/>
    <s v="Life Sciences"/>
    <n v="816"/>
    <n v="2"/>
    <x v="0"/>
    <n v="36"/>
    <n v="2"/>
    <x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  <x v="2"/>
    <x v="1"/>
    <s v="0-2 yrs"/>
    <x v="0"/>
    <s v="Very Dissatisfied"/>
    <n v="27828"/>
  </r>
  <r>
    <n v="33"/>
    <x v="1"/>
    <s v="Travel_Rarely"/>
    <n v="213"/>
    <x v="1"/>
    <n v="7"/>
    <n v="3"/>
    <s v="Medical"/>
    <n v="817"/>
    <n v="3"/>
    <x v="1"/>
    <n v="49"/>
    <n v="3"/>
    <x v="2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x v="2"/>
    <x v="3"/>
    <s v="10+ yrs"/>
    <x v="0"/>
    <s v="Satisfied"/>
    <n v="140292"/>
  </r>
  <r>
    <n v="33"/>
    <x v="0"/>
    <s v="Travel_Rarely"/>
    <n v="118"/>
    <x v="0"/>
    <n v="16"/>
    <n v="3"/>
    <s v="Marketing"/>
    <n v="819"/>
    <n v="1"/>
    <x v="0"/>
    <n v="69"/>
    <n v="3"/>
    <x v="0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  <x v="2"/>
    <x v="0"/>
    <s v="3-5 yrs"/>
    <x v="0"/>
    <s v="Very Dissatisfied"/>
    <n v="63888"/>
  </r>
  <r>
    <n v="47"/>
    <x v="1"/>
    <s v="Travel_Rarely"/>
    <n v="202"/>
    <x v="1"/>
    <n v="2"/>
    <n v="2"/>
    <s v="Other"/>
    <n v="820"/>
    <n v="3"/>
    <x v="0"/>
    <n v="33"/>
    <n v="3"/>
    <x v="3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x v="1"/>
    <x v="3"/>
    <s v="10+ yrs"/>
    <x v="0"/>
    <s v="Very Satisfied"/>
    <n v="201024"/>
  </r>
  <r>
    <n v="36"/>
    <x v="1"/>
    <s v="Travel_Rarely"/>
    <n v="676"/>
    <x v="1"/>
    <n v="1"/>
    <n v="3"/>
    <s v="Other"/>
    <n v="823"/>
    <n v="3"/>
    <x v="0"/>
    <n v="35"/>
    <n v="3"/>
    <x v="0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  <x v="0"/>
    <x v="0"/>
    <s v="6-10 yrs"/>
    <x v="0"/>
    <s v="Dissatisfied"/>
    <n v="62736"/>
  </r>
  <r>
    <n v="29"/>
    <x v="1"/>
    <s v="Travel_Rarely"/>
    <n v="1252"/>
    <x v="1"/>
    <n v="23"/>
    <n v="2"/>
    <s v="Life Sciences"/>
    <n v="824"/>
    <n v="3"/>
    <x v="1"/>
    <n v="81"/>
    <n v="4"/>
    <x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x v="2"/>
    <x v="1"/>
    <s v="6-10 yrs"/>
    <x v="1"/>
    <s v="Satisfied"/>
    <n v="32400"/>
  </r>
  <r>
    <n v="58"/>
    <x v="0"/>
    <s v="Travel_Rarely"/>
    <n v="286"/>
    <x v="1"/>
    <n v="2"/>
    <n v="4"/>
    <s v="Life Sciences"/>
    <n v="825"/>
    <n v="4"/>
    <x v="1"/>
    <n v="31"/>
    <n v="3"/>
    <x v="4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x v="1"/>
    <x v="3"/>
    <s v="10+ yrs"/>
    <x v="0"/>
    <s v="Dissatisfied"/>
    <n v="230952"/>
  </r>
  <r>
    <n v="35"/>
    <x v="1"/>
    <s v="Travel_Rarely"/>
    <n v="1258"/>
    <x v="1"/>
    <n v="1"/>
    <n v="4"/>
    <s v="Life Sciences"/>
    <n v="826"/>
    <n v="4"/>
    <x v="0"/>
    <n v="40"/>
    <n v="4"/>
    <x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  <x v="2"/>
    <x v="1"/>
    <s v="0-2 yrs"/>
    <x v="0"/>
    <s v="Satisfied"/>
    <n v="30072"/>
  </r>
  <r>
    <n v="42"/>
    <x v="1"/>
    <s v="Travel_Rarely"/>
    <n v="932"/>
    <x v="1"/>
    <n v="1"/>
    <n v="2"/>
    <s v="Life Sciences"/>
    <n v="827"/>
    <n v="4"/>
    <x v="0"/>
    <n v="43"/>
    <n v="2"/>
    <x v="0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  <x v="0"/>
    <x v="2"/>
    <s v="3-5 yrs"/>
    <x v="0"/>
    <s v="Very Satisfied"/>
    <n v="72744"/>
  </r>
  <r>
    <n v="28"/>
    <x v="0"/>
    <s v="Travel_Rarely"/>
    <n v="890"/>
    <x v="1"/>
    <n v="2"/>
    <n v="4"/>
    <s v="Medical"/>
    <n v="828"/>
    <n v="3"/>
    <x v="1"/>
    <n v="46"/>
    <n v="3"/>
    <x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  <x v="2"/>
    <x v="0"/>
    <s v="0-2 yrs"/>
    <x v="0"/>
    <s v="Satisfied"/>
    <n v="52584"/>
  </r>
  <r>
    <n v="36"/>
    <x v="1"/>
    <s v="Travel_Rarely"/>
    <n v="1041"/>
    <x v="2"/>
    <n v="13"/>
    <n v="3"/>
    <s v="Human Resources"/>
    <n v="829"/>
    <n v="3"/>
    <x v="1"/>
    <n v="36"/>
    <n v="3"/>
    <x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  <x v="0"/>
    <x v="1"/>
    <s v="3-5 yrs"/>
    <x v="0"/>
    <s v="Dissatisfied"/>
    <n v="25716"/>
  </r>
  <r>
    <n v="32"/>
    <x v="1"/>
    <s v="Travel_Rarely"/>
    <n v="859"/>
    <x v="1"/>
    <n v="4"/>
    <n v="3"/>
    <s v="Life Sciences"/>
    <n v="830"/>
    <n v="3"/>
    <x v="0"/>
    <n v="98"/>
    <n v="2"/>
    <x v="0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x v="2"/>
    <x v="2"/>
    <s v="10+ yrs"/>
    <x v="0"/>
    <s v="Satisfied"/>
    <n v="73944"/>
  </r>
  <r>
    <n v="40"/>
    <x v="1"/>
    <s v="Travel_Frequently"/>
    <n v="720"/>
    <x v="1"/>
    <n v="16"/>
    <n v="4"/>
    <s v="Medical"/>
    <n v="832"/>
    <n v="1"/>
    <x v="1"/>
    <n v="51"/>
    <n v="2"/>
    <x v="0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  <x v="0"/>
    <x v="0"/>
    <s v="0-2 yrs"/>
    <x v="0"/>
    <s v="Satisfied"/>
    <n v="61128"/>
  </r>
  <r>
    <n v="30"/>
    <x v="1"/>
    <s v="Travel_Rarely"/>
    <n v="946"/>
    <x v="1"/>
    <n v="2"/>
    <n v="3"/>
    <s v="Medical"/>
    <n v="833"/>
    <n v="3"/>
    <x v="0"/>
    <n v="52"/>
    <n v="2"/>
    <x v="0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  <x v="2"/>
    <x v="2"/>
    <s v="0-2 yrs"/>
    <x v="1"/>
    <s v="Very Satisfied"/>
    <n v="82524"/>
  </r>
  <r>
    <n v="45"/>
    <x v="1"/>
    <s v="Travel_Rarely"/>
    <n v="252"/>
    <x v="1"/>
    <n v="2"/>
    <n v="3"/>
    <s v="Life Sciences"/>
    <n v="834"/>
    <n v="2"/>
    <x v="0"/>
    <n v="95"/>
    <n v="2"/>
    <x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  <x v="0"/>
    <x v="1"/>
    <s v="0-2 yrs"/>
    <x v="0"/>
    <s v="Satisfied"/>
    <n v="27288"/>
  </r>
  <r>
    <n v="42"/>
    <x v="1"/>
    <s v="Travel_Rarely"/>
    <n v="933"/>
    <x v="1"/>
    <n v="29"/>
    <n v="3"/>
    <s v="Life Sciences"/>
    <n v="836"/>
    <n v="2"/>
    <x v="1"/>
    <n v="98"/>
    <n v="3"/>
    <x v="0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  <x v="0"/>
    <x v="0"/>
    <s v="6-10 yrs"/>
    <x v="0"/>
    <s v="Dissatisfied"/>
    <n v="53208"/>
  </r>
  <r>
    <n v="38"/>
    <x v="1"/>
    <s v="Travel_Frequently"/>
    <n v="471"/>
    <x v="1"/>
    <n v="12"/>
    <n v="3"/>
    <s v="Life Sciences"/>
    <n v="837"/>
    <n v="1"/>
    <x v="1"/>
    <n v="45"/>
    <n v="2"/>
    <x v="0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  <x v="0"/>
    <x v="2"/>
    <s v="3-5 yrs"/>
    <x v="0"/>
    <s v="Very Dissatisfied"/>
    <n v="75456"/>
  </r>
  <r>
    <n v="34"/>
    <x v="1"/>
    <s v="Travel_Frequently"/>
    <n v="702"/>
    <x v="1"/>
    <n v="16"/>
    <n v="4"/>
    <s v="Life Sciences"/>
    <n v="838"/>
    <n v="3"/>
    <x v="0"/>
    <n v="100"/>
    <n v="2"/>
    <x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  <x v="2"/>
    <x v="1"/>
    <s v="3-5 yrs"/>
    <x v="0"/>
    <s v="Very Satisfied"/>
    <n v="30636"/>
  </r>
  <r>
    <n v="49"/>
    <x v="0"/>
    <s v="Travel_Rarely"/>
    <n v="1184"/>
    <x v="0"/>
    <n v="11"/>
    <n v="3"/>
    <s v="Marketing"/>
    <n v="840"/>
    <n v="3"/>
    <x v="0"/>
    <n v="43"/>
    <n v="3"/>
    <x v="2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  <x v="1"/>
    <x v="2"/>
    <s v="6-10 yrs"/>
    <x v="0"/>
    <s v="Very Satisfied"/>
    <n v="91848"/>
  </r>
  <r>
    <n v="55"/>
    <x v="0"/>
    <s v="Travel_Rarely"/>
    <n v="436"/>
    <x v="0"/>
    <n v="2"/>
    <n v="1"/>
    <s v="Medical"/>
    <n v="842"/>
    <n v="3"/>
    <x v="1"/>
    <n v="37"/>
    <n v="3"/>
    <x v="0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  <x v="1"/>
    <x v="0"/>
    <s v="6-10 yrs"/>
    <x v="0"/>
    <s v="Very Satisfied"/>
    <n v="61920"/>
  </r>
  <r>
    <n v="43"/>
    <x v="1"/>
    <s v="Travel_Rarely"/>
    <n v="589"/>
    <x v="1"/>
    <n v="14"/>
    <n v="2"/>
    <s v="Life Sciences"/>
    <n v="843"/>
    <n v="2"/>
    <x v="1"/>
    <n v="94"/>
    <n v="3"/>
    <x v="3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  <x v="0"/>
    <x v="3"/>
    <s v="3-5 yrs"/>
    <x v="1"/>
    <s v="Very Dissatisfied"/>
    <n v="205908"/>
  </r>
  <r>
    <n v="27"/>
    <x v="1"/>
    <s v="Travel_Rarely"/>
    <n v="269"/>
    <x v="1"/>
    <n v="5"/>
    <n v="1"/>
    <s v="Technical Degree"/>
    <n v="844"/>
    <n v="3"/>
    <x v="1"/>
    <n v="42"/>
    <n v="2"/>
    <x v="2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  <x v="2"/>
    <x v="3"/>
    <s v="6-10 yrs"/>
    <x v="0"/>
    <s v="Very Satisfied"/>
    <n v="153696"/>
  </r>
  <r>
    <n v="35"/>
    <x v="1"/>
    <s v="Travel_Rarely"/>
    <n v="950"/>
    <x v="1"/>
    <n v="7"/>
    <n v="3"/>
    <s v="Other"/>
    <n v="845"/>
    <n v="3"/>
    <x v="1"/>
    <n v="59"/>
    <n v="3"/>
    <x v="2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  <x v="2"/>
    <x v="3"/>
    <s v="6-10 yrs"/>
    <x v="1"/>
    <s v="Satisfied"/>
    <n v="122652"/>
  </r>
  <r>
    <n v="28"/>
    <x v="1"/>
    <s v="Travel_Rarely"/>
    <n v="760"/>
    <x v="0"/>
    <n v="2"/>
    <n v="4"/>
    <s v="Marketing"/>
    <n v="846"/>
    <n v="2"/>
    <x v="0"/>
    <n v="81"/>
    <n v="3"/>
    <x v="0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  <x v="2"/>
    <x v="0"/>
    <s v="6-10 yrs"/>
    <x v="1"/>
    <s v="Dissatisfied"/>
    <n v="57348"/>
  </r>
  <r>
    <n v="34"/>
    <x v="1"/>
    <s v="Travel_Rarely"/>
    <n v="829"/>
    <x v="2"/>
    <n v="3"/>
    <n v="2"/>
    <s v="Human Resources"/>
    <n v="847"/>
    <n v="3"/>
    <x v="1"/>
    <n v="88"/>
    <n v="3"/>
    <x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  <x v="2"/>
    <x v="0"/>
    <s v="3-5 yrs"/>
    <x v="0"/>
    <s v="Very Satisfied"/>
    <n v="44844"/>
  </r>
  <r>
    <n v="26"/>
    <x v="0"/>
    <s v="Travel_Frequently"/>
    <n v="887"/>
    <x v="1"/>
    <n v="5"/>
    <n v="2"/>
    <s v="Medical"/>
    <n v="848"/>
    <n v="3"/>
    <x v="0"/>
    <n v="88"/>
    <n v="2"/>
    <x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  <x v="2"/>
    <x v="1"/>
    <s v="6-10 yrs"/>
    <x v="0"/>
    <s v="Satisfied"/>
    <n v="28392"/>
  </r>
  <r>
    <n v="27"/>
    <x v="1"/>
    <s v="Non-Travel"/>
    <n v="443"/>
    <x v="1"/>
    <n v="3"/>
    <n v="3"/>
    <s v="Medical"/>
    <n v="850"/>
    <n v="4"/>
    <x v="1"/>
    <n v="50"/>
    <n v="3"/>
    <x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  <x v="2"/>
    <x v="1"/>
    <s v="0-2 yrs"/>
    <x v="0"/>
    <s v="Very Satisfied"/>
    <n v="20472"/>
  </r>
  <r>
    <n v="51"/>
    <x v="1"/>
    <s v="Travel_Rarely"/>
    <n v="1318"/>
    <x v="0"/>
    <n v="26"/>
    <n v="4"/>
    <s v="Marketing"/>
    <n v="851"/>
    <n v="1"/>
    <x v="0"/>
    <n v="66"/>
    <n v="3"/>
    <x v="3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x v="1"/>
    <x v="3"/>
    <s v="10+ yrs"/>
    <x v="0"/>
    <s v="Satisfied"/>
    <n v="195684"/>
  </r>
  <r>
    <n v="44"/>
    <x v="1"/>
    <s v="Travel_Rarely"/>
    <n v="625"/>
    <x v="1"/>
    <n v="4"/>
    <n v="3"/>
    <s v="Medical"/>
    <n v="852"/>
    <n v="4"/>
    <x v="1"/>
    <n v="50"/>
    <n v="3"/>
    <x v="0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  <x v="0"/>
    <x v="0"/>
    <s v="3-5 yrs"/>
    <x v="0"/>
    <s v="Dissatisfied"/>
    <n v="71196"/>
  </r>
  <r>
    <n v="25"/>
    <x v="1"/>
    <s v="Travel_Rarely"/>
    <n v="180"/>
    <x v="1"/>
    <n v="2"/>
    <n v="1"/>
    <s v="Medical"/>
    <n v="854"/>
    <n v="1"/>
    <x v="1"/>
    <n v="65"/>
    <n v="4"/>
    <x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  <x v="3"/>
    <x v="0"/>
    <s v="3-5 yrs"/>
    <x v="0"/>
    <s v="Very Dissatisfied"/>
    <n v="41088"/>
  </r>
  <r>
    <n v="33"/>
    <x v="1"/>
    <s v="Travel_Rarely"/>
    <n v="586"/>
    <x v="0"/>
    <n v="1"/>
    <n v="3"/>
    <s v="Medical"/>
    <n v="855"/>
    <n v="1"/>
    <x v="1"/>
    <n v="48"/>
    <n v="4"/>
    <x v="0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  <x v="2"/>
    <x v="0"/>
    <s v="6-10 yrs"/>
    <x v="1"/>
    <s v="Very Dissatisfied"/>
    <n v="48444"/>
  </r>
  <r>
    <n v="35"/>
    <x v="1"/>
    <s v="Travel_Rarely"/>
    <n v="1343"/>
    <x v="1"/>
    <n v="27"/>
    <n v="1"/>
    <s v="Medical"/>
    <n v="856"/>
    <n v="3"/>
    <x v="0"/>
    <n v="53"/>
    <n v="2"/>
    <x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  <x v="2"/>
    <x v="1"/>
    <s v="6-10 yrs"/>
    <x v="0"/>
    <s v="Very Dissatisfied"/>
    <n v="30708"/>
  </r>
  <r>
    <n v="36"/>
    <x v="1"/>
    <s v="Travel_Rarely"/>
    <n v="928"/>
    <x v="0"/>
    <n v="1"/>
    <n v="2"/>
    <s v="Life Sciences"/>
    <n v="857"/>
    <n v="2"/>
    <x v="1"/>
    <n v="56"/>
    <n v="3"/>
    <x v="0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x v="0"/>
    <x v="2"/>
    <s v="10+ yrs"/>
    <x v="0"/>
    <s v="Very Satisfied"/>
    <n v="74412"/>
  </r>
  <r>
    <n v="32"/>
    <x v="1"/>
    <s v="Travel_Rarely"/>
    <n v="117"/>
    <x v="0"/>
    <n v="13"/>
    <n v="4"/>
    <s v="Life Sciences"/>
    <n v="859"/>
    <n v="2"/>
    <x v="1"/>
    <n v="73"/>
    <n v="3"/>
    <x v="0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  <x v="2"/>
    <x v="0"/>
    <s v="3-5 yrs"/>
    <x v="0"/>
    <s v="Very Satisfied"/>
    <n v="52836"/>
  </r>
  <r>
    <n v="30"/>
    <x v="1"/>
    <s v="Travel_Frequently"/>
    <n v="1012"/>
    <x v="1"/>
    <n v="5"/>
    <n v="4"/>
    <s v="Life Sciences"/>
    <n v="861"/>
    <n v="2"/>
    <x v="1"/>
    <n v="75"/>
    <n v="2"/>
    <x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  <x v="2"/>
    <x v="0"/>
    <s v="3-5 yrs"/>
    <x v="0"/>
    <s v="Very Satisfied"/>
    <n v="45132"/>
  </r>
  <r>
    <n v="53"/>
    <x v="1"/>
    <s v="Travel_Rarely"/>
    <n v="661"/>
    <x v="0"/>
    <n v="7"/>
    <n v="2"/>
    <s v="Marketing"/>
    <n v="862"/>
    <n v="1"/>
    <x v="0"/>
    <n v="78"/>
    <n v="2"/>
    <x v="2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x v="1"/>
    <x v="3"/>
    <s v="3-5 yrs"/>
    <x v="0"/>
    <s v="Very Satisfied"/>
    <n v="131208"/>
  </r>
  <r>
    <n v="45"/>
    <x v="1"/>
    <s v="Travel_Rarely"/>
    <n v="930"/>
    <x v="0"/>
    <n v="9"/>
    <n v="3"/>
    <s v="Marketing"/>
    <n v="864"/>
    <n v="4"/>
    <x v="1"/>
    <n v="74"/>
    <n v="3"/>
    <x v="2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x v="0"/>
    <x v="3"/>
    <s v="3-5 yrs"/>
    <x v="0"/>
    <s v="Very Dissatisfied"/>
    <n v="129132"/>
  </r>
  <r>
    <n v="32"/>
    <x v="1"/>
    <s v="Travel_Rarely"/>
    <n v="638"/>
    <x v="1"/>
    <n v="8"/>
    <n v="2"/>
    <s v="Medical"/>
    <n v="865"/>
    <n v="3"/>
    <x v="0"/>
    <n v="91"/>
    <n v="4"/>
    <x v="0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  <x v="2"/>
    <x v="0"/>
    <s v="3-5 yrs"/>
    <x v="0"/>
    <s v="Satisfied"/>
    <n v="62100"/>
  </r>
  <r>
    <n v="52"/>
    <x v="1"/>
    <s v="Travel_Frequently"/>
    <n v="890"/>
    <x v="1"/>
    <n v="25"/>
    <n v="4"/>
    <s v="Medical"/>
    <n v="867"/>
    <n v="3"/>
    <x v="0"/>
    <n v="81"/>
    <n v="2"/>
    <x v="3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x v="1"/>
    <x v="3"/>
    <s v="6-10 yrs"/>
    <x v="1"/>
    <s v="Very Satisfied"/>
    <n v="165912"/>
  </r>
  <r>
    <n v="37"/>
    <x v="1"/>
    <s v="Travel_Rarely"/>
    <n v="342"/>
    <x v="0"/>
    <n v="16"/>
    <n v="4"/>
    <s v="Marketing"/>
    <n v="868"/>
    <n v="4"/>
    <x v="1"/>
    <n v="66"/>
    <n v="2"/>
    <x v="0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  <x v="0"/>
    <x v="2"/>
    <s v="0-2 yrs"/>
    <x v="0"/>
    <s v="Satisfied"/>
    <n v="76008"/>
  </r>
  <r>
    <n v="28"/>
    <x v="1"/>
    <s v="Travel_Rarely"/>
    <n v="1169"/>
    <x v="2"/>
    <n v="8"/>
    <n v="2"/>
    <s v="Medical"/>
    <n v="869"/>
    <n v="2"/>
    <x v="1"/>
    <n v="63"/>
    <n v="2"/>
    <x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  <x v="2"/>
    <x v="0"/>
    <s v="3-5 yrs"/>
    <x v="0"/>
    <s v="Very Satisfied"/>
    <n v="59232"/>
  </r>
  <r>
    <n v="22"/>
    <x v="1"/>
    <s v="Travel_Rarely"/>
    <n v="1230"/>
    <x v="1"/>
    <n v="1"/>
    <n v="2"/>
    <s v="Life Sciences"/>
    <n v="872"/>
    <n v="4"/>
    <x v="1"/>
    <n v="33"/>
    <n v="2"/>
    <x v="0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  <x v="3"/>
    <x v="0"/>
    <s v="0-2 yrs"/>
    <x v="1"/>
    <s v="Very Satisfied"/>
    <n v="57300"/>
  </r>
  <r>
    <n v="44"/>
    <x v="1"/>
    <s v="Travel_Rarely"/>
    <n v="986"/>
    <x v="1"/>
    <n v="8"/>
    <n v="4"/>
    <s v="Life Sciences"/>
    <n v="874"/>
    <n v="1"/>
    <x v="1"/>
    <n v="62"/>
    <n v="4"/>
    <x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  <x v="0"/>
    <x v="1"/>
    <s v="3-5 yrs"/>
    <x v="1"/>
    <s v="Very Satisfied"/>
    <n v="33816"/>
  </r>
  <r>
    <n v="42"/>
    <x v="1"/>
    <s v="Travel_Frequently"/>
    <n v="1271"/>
    <x v="1"/>
    <n v="2"/>
    <n v="1"/>
    <s v="Medical"/>
    <n v="875"/>
    <n v="2"/>
    <x v="1"/>
    <n v="35"/>
    <n v="3"/>
    <x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  <x v="0"/>
    <x v="1"/>
    <s v="0-2 yrs"/>
    <x v="0"/>
    <s v="Very Satisfied"/>
    <n v="30180"/>
  </r>
  <r>
    <n v="36"/>
    <x v="1"/>
    <s v="Travel_Rarely"/>
    <n v="1278"/>
    <x v="2"/>
    <n v="8"/>
    <n v="3"/>
    <s v="Life Sciences"/>
    <n v="878"/>
    <n v="1"/>
    <x v="1"/>
    <n v="77"/>
    <n v="2"/>
    <x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  <x v="0"/>
    <x v="1"/>
    <s v="3-5 yrs"/>
    <x v="1"/>
    <s v="Very Dissatisfied"/>
    <n v="28104"/>
  </r>
  <r>
    <n v="25"/>
    <x v="1"/>
    <s v="Travel_Rarely"/>
    <n v="141"/>
    <x v="0"/>
    <n v="3"/>
    <n v="1"/>
    <s v="Other"/>
    <n v="879"/>
    <n v="3"/>
    <x v="1"/>
    <n v="98"/>
    <n v="3"/>
    <x v="0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  <x v="3"/>
    <x v="0"/>
    <s v="3-5 yrs"/>
    <x v="0"/>
    <s v="Very Dissatisfied"/>
    <n v="50328"/>
  </r>
  <r>
    <n v="35"/>
    <x v="1"/>
    <s v="Travel_Rarely"/>
    <n v="607"/>
    <x v="1"/>
    <n v="9"/>
    <n v="3"/>
    <s v="Life Sciences"/>
    <n v="880"/>
    <n v="4"/>
    <x v="0"/>
    <n v="66"/>
    <n v="2"/>
    <x v="2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x v="2"/>
    <x v="3"/>
    <s v="10+ yrs"/>
    <x v="1"/>
    <s v="Satisfied"/>
    <n v="128220"/>
  </r>
  <r>
    <n v="35"/>
    <x v="0"/>
    <s v="Travel_Frequently"/>
    <n v="130"/>
    <x v="1"/>
    <n v="25"/>
    <n v="4"/>
    <s v="Life Sciences"/>
    <n v="881"/>
    <n v="4"/>
    <x v="0"/>
    <n v="96"/>
    <n v="3"/>
    <x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x v="2"/>
    <x v="1"/>
    <s v="6-10 yrs"/>
    <x v="0"/>
    <s v="Dissatisfied"/>
    <n v="24264"/>
  </r>
  <r>
    <n v="32"/>
    <x v="1"/>
    <s v="Non-Travel"/>
    <n v="300"/>
    <x v="1"/>
    <n v="1"/>
    <n v="3"/>
    <s v="Life Sciences"/>
    <n v="882"/>
    <n v="4"/>
    <x v="1"/>
    <n v="61"/>
    <n v="3"/>
    <x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  <x v="2"/>
    <x v="1"/>
    <s v="3-5 yrs"/>
    <x v="0"/>
    <s v="Very Satisfied"/>
    <n v="27768"/>
  </r>
  <r>
    <n v="25"/>
    <x v="1"/>
    <s v="Travel_Rarely"/>
    <n v="583"/>
    <x v="0"/>
    <n v="4"/>
    <n v="1"/>
    <s v="Marketing"/>
    <n v="885"/>
    <n v="3"/>
    <x v="1"/>
    <n v="87"/>
    <n v="2"/>
    <x v="0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  <x v="3"/>
    <x v="0"/>
    <s v="3-5 yrs"/>
    <x v="0"/>
    <s v="Very Dissatisfied"/>
    <n v="51072"/>
  </r>
  <r>
    <n v="49"/>
    <x v="1"/>
    <s v="Travel_Rarely"/>
    <n v="1418"/>
    <x v="1"/>
    <n v="1"/>
    <n v="3"/>
    <s v="Technical Degree"/>
    <n v="887"/>
    <n v="3"/>
    <x v="0"/>
    <n v="36"/>
    <n v="3"/>
    <x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  <x v="1"/>
    <x v="0"/>
    <s v="3-5 yrs"/>
    <x v="0"/>
    <s v="Very Dissatisfied"/>
    <n v="42960"/>
  </r>
  <r>
    <n v="24"/>
    <x v="1"/>
    <s v="Non-Travel"/>
    <n v="1269"/>
    <x v="1"/>
    <n v="4"/>
    <n v="1"/>
    <s v="Life Sciences"/>
    <n v="888"/>
    <n v="1"/>
    <x v="1"/>
    <n v="46"/>
    <n v="2"/>
    <x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  <x v="3"/>
    <x v="0"/>
    <s v="3-5 yrs"/>
    <x v="0"/>
    <s v="Very Satisfied"/>
    <n v="37944"/>
  </r>
  <r>
    <n v="32"/>
    <x v="1"/>
    <s v="Travel_Frequently"/>
    <n v="379"/>
    <x v="0"/>
    <n v="5"/>
    <n v="2"/>
    <s v="Life Sciences"/>
    <n v="889"/>
    <n v="2"/>
    <x v="1"/>
    <n v="48"/>
    <n v="3"/>
    <x v="0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  <x v="2"/>
    <x v="2"/>
    <s v="6-10 yrs"/>
    <x v="0"/>
    <s v="Dissatisfied"/>
    <n v="78288"/>
  </r>
  <r>
    <n v="38"/>
    <x v="1"/>
    <s v="Travel_Rarely"/>
    <n v="395"/>
    <x v="0"/>
    <n v="9"/>
    <n v="3"/>
    <s v="Marketing"/>
    <n v="893"/>
    <n v="2"/>
    <x v="1"/>
    <n v="98"/>
    <n v="2"/>
    <x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  <x v="0"/>
    <x v="1"/>
    <s v="0-2 yrs"/>
    <x v="0"/>
    <s v="Dissatisfied"/>
    <n v="34788"/>
  </r>
  <r>
    <n v="42"/>
    <x v="1"/>
    <s v="Travel_Rarely"/>
    <n v="1265"/>
    <x v="1"/>
    <n v="3"/>
    <n v="3"/>
    <s v="Life Sciences"/>
    <n v="894"/>
    <n v="3"/>
    <x v="0"/>
    <n v="95"/>
    <n v="4"/>
    <x v="0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  <x v="0"/>
    <x v="0"/>
    <s v="3-5 yrs"/>
    <x v="0"/>
    <s v="Very Satisfied"/>
    <n v="62772"/>
  </r>
  <r>
    <n v="31"/>
    <x v="1"/>
    <s v="Travel_Rarely"/>
    <n v="1222"/>
    <x v="1"/>
    <n v="11"/>
    <n v="4"/>
    <s v="Life Sciences"/>
    <n v="895"/>
    <n v="4"/>
    <x v="1"/>
    <n v="48"/>
    <n v="3"/>
    <x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  <x v="2"/>
    <x v="1"/>
    <s v="6-10 yrs"/>
    <x v="0"/>
    <s v="Very Satisfied"/>
    <n v="28272"/>
  </r>
  <r>
    <n v="29"/>
    <x v="0"/>
    <s v="Travel_Rarely"/>
    <n v="341"/>
    <x v="0"/>
    <n v="1"/>
    <n v="3"/>
    <s v="Medical"/>
    <n v="896"/>
    <n v="2"/>
    <x v="0"/>
    <n v="48"/>
    <n v="2"/>
    <x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  <x v="2"/>
    <x v="1"/>
    <s v="3-5 yrs"/>
    <x v="0"/>
    <s v="Satisfied"/>
    <n v="33600"/>
  </r>
  <r>
    <n v="53"/>
    <x v="1"/>
    <s v="Travel_Rarely"/>
    <n v="868"/>
    <x v="0"/>
    <n v="8"/>
    <n v="3"/>
    <s v="Marketing"/>
    <n v="897"/>
    <n v="1"/>
    <x v="1"/>
    <n v="73"/>
    <n v="3"/>
    <x v="3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x v="1"/>
    <x v="3"/>
    <s v="0-2 yrs"/>
    <x v="0"/>
    <s v="Very Satisfied"/>
    <n v="142032"/>
  </r>
  <r>
    <n v="35"/>
    <x v="1"/>
    <s v="Travel_Rarely"/>
    <n v="672"/>
    <x v="1"/>
    <n v="25"/>
    <n v="3"/>
    <s v="Technical Degree"/>
    <n v="899"/>
    <n v="4"/>
    <x v="1"/>
    <n v="78"/>
    <n v="2"/>
    <x v="2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x v="2"/>
    <x v="3"/>
    <s v="10+ yrs"/>
    <x v="0"/>
    <s v="Dissatisfied"/>
    <n v="130836"/>
  </r>
  <r>
    <n v="37"/>
    <x v="1"/>
    <s v="Travel_Frequently"/>
    <n v="1231"/>
    <x v="0"/>
    <n v="21"/>
    <n v="2"/>
    <s v="Medical"/>
    <n v="900"/>
    <n v="3"/>
    <x v="0"/>
    <n v="54"/>
    <n v="3"/>
    <x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  <x v="0"/>
    <x v="1"/>
    <s v="3-5 yrs"/>
    <x v="0"/>
    <s v="Very Satisfied"/>
    <n v="35676"/>
  </r>
  <r>
    <n v="53"/>
    <x v="1"/>
    <s v="Travel_Rarely"/>
    <n v="102"/>
    <x v="1"/>
    <n v="23"/>
    <n v="4"/>
    <s v="Life Sciences"/>
    <n v="901"/>
    <n v="4"/>
    <x v="0"/>
    <n v="72"/>
    <n v="3"/>
    <x v="3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x v="1"/>
    <x v="3"/>
    <s v="10+ yrs"/>
    <x v="0"/>
    <s v="Very Satisfied"/>
    <n v="171300"/>
  </r>
  <r>
    <n v="43"/>
    <x v="1"/>
    <s v="Travel_Frequently"/>
    <n v="422"/>
    <x v="1"/>
    <n v="1"/>
    <n v="3"/>
    <s v="Life Sciences"/>
    <n v="902"/>
    <n v="4"/>
    <x v="0"/>
    <n v="33"/>
    <n v="3"/>
    <x v="0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  <x v="0"/>
    <x v="0"/>
    <s v="3-5 yrs"/>
    <x v="0"/>
    <s v="Very Satisfied"/>
    <n v="66744"/>
  </r>
  <r>
    <n v="47"/>
    <x v="1"/>
    <s v="Travel_Rarely"/>
    <n v="249"/>
    <x v="0"/>
    <n v="2"/>
    <n v="2"/>
    <s v="Marketing"/>
    <n v="903"/>
    <n v="3"/>
    <x v="0"/>
    <n v="35"/>
    <n v="3"/>
    <x v="0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  <x v="1"/>
    <x v="0"/>
    <s v="6-10 yrs"/>
    <x v="1"/>
    <s v="Very Satisfied"/>
    <n v="54444"/>
  </r>
  <r>
    <n v="37"/>
    <x v="1"/>
    <s v="Non-Travel"/>
    <n v="1252"/>
    <x v="0"/>
    <n v="19"/>
    <n v="2"/>
    <s v="Medical"/>
    <n v="904"/>
    <n v="1"/>
    <x v="1"/>
    <n v="32"/>
    <n v="3"/>
    <x v="2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  <x v="0"/>
    <x v="2"/>
    <s v="6-10 yrs"/>
    <x v="0"/>
    <s v="Dissatisfied"/>
    <n v="91704"/>
  </r>
  <r>
    <n v="50"/>
    <x v="1"/>
    <s v="Non-Travel"/>
    <n v="881"/>
    <x v="1"/>
    <n v="2"/>
    <n v="4"/>
    <s v="Life Sciences"/>
    <n v="905"/>
    <n v="1"/>
    <x v="1"/>
    <n v="98"/>
    <n v="3"/>
    <x v="3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x v="1"/>
    <x v="3"/>
    <s v="10+ yrs"/>
    <x v="0"/>
    <s v="Very Dissatisfied"/>
    <n v="215088"/>
  </r>
  <r>
    <n v="39"/>
    <x v="1"/>
    <s v="Travel_Rarely"/>
    <n v="1383"/>
    <x v="2"/>
    <n v="2"/>
    <n v="3"/>
    <s v="Life Sciences"/>
    <n v="909"/>
    <n v="4"/>
    <x v="0"/>
    <n v="42"/>
    <n v="2"/>
    <x v="0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  <x v="0"/>
    <x v="0"/>
    <s v="3-5 yrs"/>
    <x v="0"/>
    <s v="Very Satisfied"/>
    <n v="62448"/>
  </r>
  <r>
    <n v="33"/>
    <x v="1"/>
    <s v="Travel_Rarely"/>
    <n v="1075"/>
    <x v="2"/>
    <n v="3"/>
    <n v="2"/>
    <s v="Human Resources"/>
    <n v="910"/>
    <n v="4"/>
    <x v="1"/>
    <n v="57"/>
    <n v="3"/>
    <x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  <x v="2"/>
    <x v="1"/>
    <s v="3-5 yrs"/>
    <x v="0"/>
    <s v="Dissatisfied"/>
    <n v="27324"/>
  </r>
  <r>
    <n v="32"/>
    <x v="0"/>
    <s v="Travel_Rarely"/>
    <n v="374"/>
    <x v="1"/>
    <n v="25"/>
    <n v="4"/>
    <s v="Life Sciences"/>
    <n v="911"/>
    <n v="1"/>
    <x v="1"/>
    <n v="87"/>
    <n v="3"/>
    <x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  <x v="2"/>
    <x v="1"/>
    <s v="0-2 yrs"/>
    <x v="1"/>
    <s v="Very Satisfied"/>
    <n v="33540"/>
  </r>
  <r>
    <n v="29"/>
    <x v="1"/>
    <s v="Travel_Rarely"/>
    <n v="1086"/>
    <x v="1"/>
    <n v="7"/>
    <n v="1"/>
    <s v="Medical"/>
    <n v="912"/>
    <n v="1"/>
    <x v="0"/>
    <n v="62"/>
    <n v="2"/>
    <x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  <x v="2"/>
    <x v="1"/>
    <s v="3-5 yrs"/>
    <x v="0"/>
    <s v="Very Satisfied"/>
    <n v="30384"/>
  </r>
  <r>
    <n v="44"/>
    <x v="1"/>
    <s v="Travel_Rarely"/>
    <n v="661"/>
    <x v="1"/>
    <n v="9"/>
    <n v="2"/>
    <s v="Life Sciences"/>
    <n v="913"/>
    <n v="2"/>
    <x v="1"/>
    <n v="61"/>
    <n v="3"/>
    <x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  <x v="0"/>
    <x v="1"/>
    <s v="6-10 yrs"/>
    <x v="0"/>
    <s v="Very Dissatisfied"/>
    <n v="30708"/>
  </r>
  <r>
    <n v="28"/>
    <x v="1"/>
    <s v="Travel_Rarely"/>
    <n v="821"/>
    <x v="0"/>
    <n v="5"/>
    <n v="4"/>
    <s v="Medical"/>
    <n v="916"/>
    <n v="1"/>
    <x v="1"/>
    <n v="98"/>
    <n v="3"/>
    <x v="0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  <x v="2"/>
    <x v="0"/>
    <s v="3-5 yrs"/>
    <x v="0"/>
    <s v="Very Satisfied"/>
    <n v="58896"/>
  </r>
  <r>
    <n v="58"/>
    <x v="0"/>
    <s v="Travel_Frequently"/>
    <n v="781"/>
    <x v="1"/>
    <n v="2"/>
    <n v="1"/>
    <s v="Life Sciences"/>
    <n v="918"/>
    <n v="4"/>
    <x v="1"/>
    <n v="57"/>
    <n v="2"/>
    <x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  <x v="1"/>
    <x v="1"/>
    <s v="0-2 yrs"/>
    <x v="0"/>
    <s v="Very Satisfied"/>
    <n v="28560"/>
  </r>
  <r>
    <n v="43"/>
    <x v="1"/>
    <s v="Travel_Rarely"/>
    <n v="177"/>
    <x v="1"/>
    <n v="8"/>
    <n v="3"/>
    <s v="Life Sciences"/>
    <n v="920"/>
    <n v="1"/>
    <x v="0"/>
    <n v="55"/>
    <n v="3"/>
    <x v="0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  <x v="0"/>
    <x v="0"/>
    <s v="0-2 yrs"/>
    <x v="1"/>
    <s v="Dissatisfied"/>
    <n v="57180"/>
  </r>
  <r>
    <n v="20"/>
    <x v="0"/>
    <s v="Travel_Rarely"/>
    <n v="500"/>
    <x v="0"/>
    <n v="2"/>
    <n v="3"/>
    <s v="Medical"/>
    <n v="922"/>
    <n v="3"/>
    <x v="0"/>
    <n v="49"/>
    <n v="2"/>
    <x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  <x v="3"/>
    <x v="1"/>
    <s v="0-2 yrs"/>
    <x v="0"/>
    <s v="Satisfied"/>
    <n v="24528"/>
  </r>
  <r>
    <n v="21"/>
    <x v="0"/>
    <s v="Travel_Rarely"/>
    <n v="1427"/>
    <x v="1"/>
    <n v="18"/>
    <n v="1"/>
    <s v="Other"/>
    <n v="923"/>
    <n v="4"/>
    <x v="0"/>
    <n v="65"/>
    <n v="3"/>
    <x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  <x v="3"/>
    <x v="1"/>
    <s v="0-2 yrs"/>
    <x v="0"/>
    <s v="Very Satisfied"/>
    <n v="32316"/>
  </r>
  <r>
    <n v="36"/>
    <x v="1"/>
    <s v="Travel_Rarely"/>
    <n v="1425"/>
    <x v="1"/>
    <n v="14"/>
    <n v="1"/>
    <s v="Life Sciences"/>
    <n v="924"/>
    <n v="3"/>
    <x v="1"/>
    <n v="68"/>
    <n v="3"/>
    <x v="0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x v="0"/>
    <x v="2"/>
    <s v="10+ yrs"/>
    <x v="0"/>
    <s v="Very Satisfied"/>
    <n v="79032"/>
  </r>
  <r>
    <n v="47"/>
    <x v="1"/>
    <s v="Travel_Rarely"/>
    <n v="1454"/>
    <x v="0"/>
    <n v="2"/>
    <n v="4"/>
    <s v="Life Sciences"/>
    <n v="925"/>
    <n v="4"/>
    <x v="0"/>
    <n v="65"/>
    <n v="2"/>
    <x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  <x v="1"/>
    <x v="0"/>
    <s v="3-5 yrs"/>
    <x v="0"/>
    <s v="Very Satisfied"/>
    <n v="39528"/>
  </r>
  <r>
    <n v="22"/>
    <x v="0"/>
    <s v="Travel_Rarely"/>
    <n v="617"/>
    <x v="1"/>
    <n v="3"/>
    <n v="1"/>
    <s v="Life Sciences"/>
    <n v="926"/>
    <n v="2"/>
    <x v="0"/>
    <n v="34"/>
    <n v="3"/>
    <x v="0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  <x v="3"/>
    <x v="0"/>
    <s v="3-5 yrs"/>
    <x v="0"/>
    <s v="Satisfied"/>
    <n v="50052"/>
  </r>
  <r>
    <n v="41"/>
    <x v="0"/>
    <s v="Travel_Rarely"/>
    <n v="1085"/>
    <x v="1"/>
    <n v="2"/>
    <n v="4"/>
    <s v="Life Sciences"/>
    <n v="927"/>
    <n v="2"/>
    <x v="0"/>
    <n v="57"/>
    <n v="1"/>
    <x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x v="0"/>
    <x v="1"/>
    <s v="6-10 yrs"/>
    <x v="0"/>
    <s v="Very Satisfied"/>
    <n v="33336"/>
  </r>
  <r>
    <n v="28"/>
    <x v="1"/>
    <s v="Travel_Rarely"/>
    <n v="995"/>
    <x v="1"/>
    <n v="9"/>
    <n v="3"/>
    <s v="Medical"/>
    <n v="930"/>
    <n v="3"/>
    <x v="0"/>
    <n v="77"/>
    <n v="3"/>
    <x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  <x v="2"/>
    <x v="1"/>
    <s v="0-2 yrs"/>
    <x v="0"/>
    <s v="Satisfied"/>
    <n v="28524"/>
  </r>
  <r>
    <n v="39"/>
    <x v="0"/>
    <s v="Travel_Rarely"/>
    <n v="1122"/>
    <x v="1"/>
    <n v="6"/>
    <n v="3"/>
    <s v="Medical"/>
    <n v="932"/>
    <n v="4"/>
    <x v="1"/>
    <n v="70"/>
    <n v="3"/>
    <x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  <x v="0"/>
    <x v="1"/>
    <s v="0-2 yrs"/>
    <x v="1"/>
    <s v="Very Dissatisfied"/>
    <n v="28848"/>
  </r>
  <r>
    <n v="27"/>
    <x v="1"/>
    <s v="Travel_Rarely"/>
    <n v="618"/>
    <x v="1"/>
    <n v="4"/>
    <n v="3"/>
    <s v="Life Sciences"/>
    <n v="933"/>
    <n v="2"/>
    <x v="0"/>
    <n v="76"/>
    <n v="3"/>
    <x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  <x v="2"/>
    <x v="1"/>
    <s v="0-2 yrs"/>
    <x v="0"/>
    <s v="Satisfied"/>
    <n v="27816"/>
  </r>
  <r>
    <n v="34"/>
    <x v="1"/>
    <s v="Travel_Rarely"/>
    <n v="546"/>
    <x v="1"/>
    <n v="10"/>
    <n v="3"/>
    <s v="Life Sciences"/>
    <n v="934"/>
    <n v="2"/>
    <x v="1"/>
    <n v="83"/>
    <n v="3"/>
    <x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  <x v="2"/>
    <x v="1"/>
    <s v="0-2 yrs"/>
    <x v="0"/>
    <s v="Dissatisfied"/>
    <n v="24096"/>
  </r>
  <r>
    <n v="42"/>
    <x v="1"/>
    <s v="Travel_Rarely"/>
    <n v="462"/>
    <x v="0"/>
    <n v="14"/>
    <n v="2"/>
    <s v="Medical"/>
    <n v="936"/>
    <n v="3"/>
    <x v="0"/>
    <n v="68"/>
    <n v="2"/>
    <x v="0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  <x v="0"/>
    <x v="2"/>
    <s v="3-5 yrs"/>
    <x v="0"/>
    <s v="Satisfied"/>
    <n v="74928"/>
  </r>
  <r>
    <n v="33"/>
    <x v="1"/>
    <s v="Travel_Rarely"/>
    <n v="1198"/>
    <x v="1"/>
    <n v="1"/>
    <n v="4"/>
    <s v="Other"/>
    <n v="939"/>
    <n v="3"/>
    <x v="1"/>
    <n v="100"/>
    <n v="2"/>
    <x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  <x v="2"/>
    <x v="1"/>
    <s v="3-5 yrs"/>
    <x v="0"/>
    <s v="Very Dissatisfied"/>
    <n v="33588"/>
  </r>
  <r>
    <n v="58"/>
    <x v="1"/>
    <s v="Travel_Rarely"/>
    <n v="1272"/>
    <x v="1"/>
    <n v="5"/>
    <n v="3"/>
    <s v="Technical Degree"/>
    <n v="940"/>
    <n v="3"/>
    <x v="0"/>
    <n v="37"/>
    <n v="2"/>
    <x v="2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x v="1"/>
    <x v="3"/>
    <s v="6-10 yrs"/>
    <x v="0"/>
    <s v="Dissatisfied"/>
    <n v="126624"/>
  </r>
  <r>
    <n v="31"/>
    <x v="1"/>
    <s v="Travel_Rarely"/>
    <n v="154"/>
    <x v="0"/>
    <n v="7"/>
    <n v="4"/>
    <s v="Life Sciences"/>
    <n v="941"/>
    <n v="2"/>
    <x v="1"/>
    <n v="41"/>
    <n v="2"/>
    <x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  <x v="2"/>
    <x v="1"/>
    <s v="6-10 yrs"/>
    <x v="0"/>
    <s v="Satisfied"/>
    <n v="27948"/>
  </r>
  <r>
    <n v="35"/>
    <x v="1"/>
    <s v="Travel_Rarely"/>
    <n v="1137"/>
    <x v="1"/>
    <n v="21"/>
    <n v="1"/>
    <s v="Life Sciences"/>
    <n v="942"/>
    <n v="4"/>
    <x v="0"/>
    <n v="51"/>
    <n v="3"/>
    <x v="0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x v="2"/>
    <x v="0"/>
    <s v="6-10 yrs"/>
    <x v="1"/>
    <s v="Very Satisfied"/>
    <n v="48168"/>
  </r>
  <r>
    <n v="49"/>
    <x v="1"/>
    <s v="Travel_Rarely"/>
    <n v="527"/>
    <x v="1"/>
    <n v="8"/>
    <n v="2"/>
    <s v="Other"/>
    <n v="944"/>
    <n v="1"/>
    <x v="0"/>
    <n v="51"/>
    <n v="3"/>
    <x v="2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x v="1"/>
    <x v="2"/>
    <s v="10+ yrs"/>
    <x v="0"/>
    <s v="Dissatisfied"/>
    <n v="88836"/>
  </r>
  <r>
    <n v="48"/>
    <x v="1"/>
    <s v="Travel_Rarely"/>
    <n v="1469"/>
    <x v="1"/>
    <n v="20"/>
    <n v="4"/>
    <s v="Medical"/>
    <n v="945"/>
    <n v="4"/>
    <x v="1"/>
    <n v="51"/>
    <n v="3"/>
    <x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  <x v="1"/>
    <x v="1"/>
    <s v="0-2 yrs"/>
    <x v="0"/>
    <s v="Satisfied"/>
    <n v="27108"/>
  </r>
  <r>
    <n v="31"/>
    <x v="1"/>
    <s v="Non-Travel"/>
    <n v="1188"/>
    <x v="0"/>
    <n v="20"/>
    <n v="2"/>
    <s v="Marketing"/>
    <n v="947"/>
    <n v="4"/>
    <x v="0"/>
    <n v="45"/>
    <n v="3"/>
    <x v="0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  <x v="2"/>
    <x v="2"/>
    <s v="6-10 yrs"/>
    <x v="0"/>
    <s v="Satisfied"/>
    <n v="83184"/>
  </r>
  <r>
    <n v="36"/>
    <x v="1"/>
    <s v="Travel_Rarely"/>
    <n v="188"/>
    <x v="1"/>
    <n v="7"/>
    <n v="4"/>
    <s v="Other"/>
    <n v="949"/>
    <n v="2"/>
    <x v="1"/>
    <n v="65"/>
    <n v="3"/>
    <x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  <x v="0"/>
    <x v="0"/>
    <s v="6-10 yrs"/>
    <x v="0"/>
    <s v="Very Satisfied"/>
    <n v="56136"/>
  </r>
  <r>
    <n v="38"/>
    <x v="1"/>
    <s v="Travel_Rarely"/>
    <n v="1333"/>
    <x v="1"/>
    <n v="1"/>
    <n v="3"/>
    <s v="Technical Degree"/>
    <n v="950"/>
    <n v="4"/>
    <x v="0"/>
    <n v="80"/>
    <n v="3"/>
    <x v="2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x v="0"/>
    <x v="3"/>
    <s v="10+ yrs"/>
    <x v="0"/>
    <s v="Very Dissatisfied"/>
    <n v="162984"/>
  </r>
  <r>
    <n v="32"/>
    <x v="1"/>
    <s v="Non-Travel"/>
    <n v="1184"/>
    <x v="1"/>
    <n v="1"/>
    <n v="3"/>
    <s v="Life Sciences"/>
    <n v="951"/>
    <n v="3"/>
    <x v="0"/>
    <n v="70"/>
    <n v="2"/>
    <x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  <x v="2"/>
    <x v="1"/>
    <s v="3-5 yrs"/>
    <x v="1"/>
    <s v="Dissatisfied"/>
    <n v="27984"/>
  </r>
  <r>
    <n v="25"/>
    <x v="0"/>
    <s v="Travel_Rarely"/>
    <n v="867"/>
    <x v="0"/>
    <n v="19"/>
    <n v="2"/>
    <s v="Marketing"/>
    <n v="952"/>
    <n v="3"/>
    <x v="1"/>
    <n v="36"/>
    <n v="2"/>
    <x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  <x v="3"/>
    <x v="1"/>
    <s v="0-2 yrs"/>
    <x v="0"/>
    <s v="Dissatisfied"/>
    <n v="28956"/>
  </r>
  <r>
    <n v="40"/>
    <x v="1"/>
    <s v="Travel_Rarely"/>
    <n v="658"/>
    <x v="0"/>
    <n v="10"/>
    <n v="4"/>
    <s v="Marketing"/>
    <n v="954"/>
    <n v="1"/>
    <x v="1"/>
    <n v="67"/>
    <n v="2"/>
    <x v="2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x v="0"/>
    <x v="2"/>
    <s v="0-2 yrs"/>
    <x v="0"/>
    <s v="Dissatisfied"/>
    <n v="116460"/>
  </r>
  <r>
    <n v="26"/>
    <x v="1"/>
    <s v="Travel_Frequently"/>
    <n v="1283"/>
    <x v="0"/>
    <n v="1"/>
    <n v="3"/>
    <s v="Medical"/>
    <n v="956"/>
    <n v="3"/>
    <x v="1"/>
    <n v="52"/>
    <n v="2"/>
    <x v="0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  <x v="2"/>
    <x v="0"/>
    <s v="6-10 yrs"/>
    <x v="0"/>
    <s v="Very Dissatisfied"/>
    <n v="51528"/>
  </r>
  <r>
    <n v="41"/>
    <x v="1"/>
    <s v="Travel_Rarely"/>
    <n v="263"/>
    <x v="1"/>
    <n v="6"/>
    <n v="3"/>
    <s v="Medical"/>
    <n v="957"/>
    <n v="4"/>
    <x v="1"/>
    <n v="59"/>
    <n v="3"/>
    <x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x v="0"/>
    <x v="0"/>
    <s v="10+ yrs"/>
    <x v="0"/>
    <s v="Very Dissatisfied"/>
    <n v="56652"/>
  </r>
  <r>
    <n v="36"/>
    <x v="1"/>
    <s v="Travel_Rarely"/>
    <n v="938"/>
    <x v="1"/>
    <n v="2"/>
    <n v="4"/>
    <s v="Medical"/>
    <n v="958"/>
    <n v="3"/>
    <x v="1"/>
    <n v="79"/>
    <n v="3"/>
    <x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  <x v="0"/>
    <x v="1"/>
    <s v="10+ yrs"/>
    <x v="1"/>
    <s v="Satisfied"/>
    <n v="30228"/>
  </r>
  <r>
    <n v="19"/>
    <x v="0"/>
    <s v="Travel_Rarely"/>
    <n v="419"/>
    <x v="0"/>
    <n v="21"/>
    <n v="3"/>
    <s v="Other"/>
    <n v="959"/>
    <n v="4"/>
    <x v="1"/>
    <n v="37"/>
    <n v="2"/>
    <x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  <x v="3"/>
    <x v="1"/>
    <s v="0-2 yrs"/>
    <x v="0"/>
    <s v="Dissatisfied"/>
    <n v="25452"/>
  </r>
  <r>
    <n v="20"/>
    <x v="0"/>
    <s v="Travel_Rarely"/>
    <n v="129"/>
    <x v="1"/>
    <n v="4"/>
    <n v="3"/>
    <s v="Technical Degree"/>
    <n v="960"/>
    <n v="1"/>
    <x v="1"/>
    <n v="84"/>
    <n v="3"/>
    <x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  <x v="3"/>
    <x v="1"/>
    <s v="0-2 yrs"/>
    <x v="0"/>
    <s v="Very Dissatisfied"/>
    <n v="35676"/>
  </r>
  <r>
    <n v="31"/>
    <x v="1"/>
    <s v="Travel_Rarely"/>
    <n v="616"/>
    <x v="1"/>
    <n v="12"/>
    <n v="3"/>
    <s v="Medical"/>
    <n v="961"/>
    <n v="4"/>
    <x v="0"/>
    <n v="41"/>
    <n v="3"/>
    <x v="0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  <x v="2"/>
    <x v="0"/>
    <s v="6-10 yrs"/>
    <x v="0"/>
    <s v="Very Satisfied"/>
    <n v="70260"/>
  </r>
  <r>
    <n v="40"/>
    <x v="1"/>
    <s v="Travel_Frequently"/>
    <n v="1469"/>
    <x v="1"/>
    <n v="9"/>
    <n v="4"/>
    <s v="Medical"/>
    <n v="964"/>
    <n v="4"/>
    <x v="1"/>
    <n v="35"/>
    <n v="3"/>
    <x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  <x v="0"/>
    <x v="0"/>
    <s v="0-2 yrs"/>
    <x v="0"/>
    <s v="Dissatisfied"/>
    <n v="43404"/>
  </r>
  <r>
    <n v="32"/>
    <x v="1"/>
    <s v="Travel_Rarely"/>
    <n v="498"/>
    <x v="1"/>
    <n v="3"/>
    <n v="4"/>
    <s v="Medical"/>
    <n v="966"/>
    <n v="3"/>
    <x v="0"/>
    <n v="93"/>
    <n v="3"/>
    <x v="0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  <x v="2"/>
    <x v="2"/>
    <s v="6-10 yrs"/>
    <x v="0"/>
    <s v="Very Dissatisfied"/>
    <n v="80700"/>
  </r>
  <r>
    <n v="36"/>
    <x v="0"/>
    <s v="Travel_Rarely"/>
    <n v="530"/>
    <x v="0"/>
    <n v="3"/>
    <n v="1"/>
    <s v="Life Sciences"/>
    <n v="967"/>
    <n v="3"/>
    <x v="1"/>
    <n v="51"/>
    <n v="2"/>
    <x v="2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x v="0"/>
    <x v="3"/>
    <s v="10+ yrs"/>
    <x v="0"/>
    <s v="Very Satisfied"/>
    <n v="123900"/>
  </r>
  <r>
    <n v="33"/>
    <x v="1"/>
    <s v="Travel_Rarely"/>
    <n v="1069"/>
    <x v="1"/>
    <n v="1"/>
    <n v="3"/>
    <s v="Life Sciences"/>
    <n v="969"/>
    <n v="2"/>
    <x v="0"/>
    <n v="42"/>
    <n v="2"/>
    <x v="0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  <x v="2"/>
    <x v="2"/>
    <s v="3-5 yrs"/>
    <x v="0"/>
    <s v="Very Satisfied"/>
    <n v="83388"/>
  </r>
  <r>
    <n v="37"/>
    <x v="0"/>
    <s v="Travel_Rarely"/>
    <n v="625"/>
    <x v="0"/>
    <n v="1"/>
    <n v="4"/>
    <s v="Life Sciences"/>
    <n v="970"/>
    <n v="1"/>
    <x v="1"/>
    <n v="46"/>
    <n v="2"/>
    <x v="2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x v="0"/>
    <x v="3"/>
    <s v="10+ yrs"/>
    <x v="0"/>
    <s v="Satisfied"/>
    <n v="127308"/>
  </r>
  <r>
    <n v="45"/>
    <x v="1"/>
    <s v="Non-Travel"/>
    <n v="805"/>
    <x v="1"/>
    <n v="4"/>
    <n v="2"/>
    <s v="Life Sciences"/>
    <n v="972"/>
    <n v="3"/>
    <x v="1"/>
    <n v="57"/>
    <n v="3"/>
    <x v="0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  <x v="0"/>
    <x v="0"/>
    <s v="6-10 yrs"/>
    <x v="0"/>
    <s v="Dissatisfied"/>
    <n v="53364"/>
  </r>
  <r>
    <n v="29"/>
    <x v="1"/>
    <s v="Travel_Frequently"/>
    <n v="1404"/>
    <x v="0"/>
    <n v="20"/>
    <n v="3"/>
    <s v="Technical Degree"/>
    <n v="974"/>
    <n v="3"/>
    <x v="0"/>
    <n v="84"/>
    <n v="3"/>
    <x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  <x v="2"/>
    <x v="1"/>
    <s v="3-5 yrs"/>
    <x v="0"/>
    <s v="Very Satisfied"/>
    <n v="25884"/>
  </r>
  <r>
    <n v="35"/>
    <x v="1"/>
    <s v="Travel_Rarely"/>
    <n v="1219"/>
    <x v="0"/>
    <n v="18"/>
    <n v="3"/>
    <s v="Medical"/>
    <n v="975"/>
    <n v="3"/>
    <x v="0"/>
    <n v="86"/>
    <n v="3"/>
    <x v="0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  <x v="2"/>
    <x v="0"/>
    <s v="3-5 yrs"/>
    <x v="0"/>
    <s v="Satisfied"/>
    <n v="55212"/>
  </r>
  <r>
    <n v="52"/>
    <x v="1"/>
    <s v="Travel_Rarely"/>
    <n v="1053"/>
    <x v="1"/>
    <n v="1"/>
    <n v="2"/>
    <s v="Life Sciences"/>
    <n v="976"/>
    <n v="4"/>
    <x v="1"/>
    <n v="70"/>
    <n v="3"/>
    <x v="3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x v="1"/>
    <x v="3"/>
    <s v="6-10 yrs"/>
    <x v="0"/>
    <s v="Very Satisfied"/>
    <n v="205188"/>
  </r>
  <r>
    <n v="58"/>
    <x v="0"/>
    <s v="Travel_Rarely"/>
    <n v="289"/>
    <x v="1"/>
    <n v="2"/>
    <n v="3"/>
    <s v="Technical Degree"/>
    <n v="977"/>
    <n v="4"/>
    <x v="1"/>
    <n v="51"/>
    <n v="3"/>
    <x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  <x v="1"/>
    <x v="1"/>
    <s v="0-2 yrs"/>
    <x v="1"/>
    <s v="Satisfied"/>
    <n v="29748"/>
  </r>
  <r>
    <n v="53"/>
    <x v="1"/>
    <s v="Travel_Rarely"/>
    <n v="1376"/>
    <x v="0"/>
    <n v="2"/>
    <n v="2"/>
    <s v="Medical"/>
    <n v="981"/>
    <n v="3"/>
    <x v="1"/>
    <n v="45"/>
    <n v="3"/>
    <x v="3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x v="1"/>
    <x v="3"/>
    <s v="10+ yrs"/>
    <x v="0"/>
    <s v="Satisfied"/>
    <n v="178224"/>
  </r>
  <r>
    <n v="30"/>
    <x v="1"/>
    <s v="Travel_Rarely"/>
    <n v="231"/>
    <x v="0"/>
    <n v="8"/>
    <n v="2"/>
    <s v="Other"/>
    <n v="982"/>
    <n v="3"/>
    <x v="1"/>
    <n v="62"/>
    <n v="3"/>
    <x v="2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  <x v="2"/>
    <x v="2"/>
    <s v="6-10 yrs"/>
    <x v="0"/>
    <s v="Satisfied"/>
    <n v="87168"/>
  </r>
  <r>
    <n v="38"/>
    <x v="1"/>
    <s v="Non-Travel"/>
    <n v="152"/>
    <x v="0"/>
    <n v="10"/>
    <n v="3"/>
    <s v="Technical Degree"/>
    <n v="983"/>
    <n v="3"/>
    <x v="0"/>
    <n v="85"/>
    <n v="3"/>
    <x v="0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  <x v="0"/>
    <x v="0"/>
    <s v="3-5 yrs"/>
    <x v="0"/>
    <s v="Very Satisfied"/>
    <n v="67992"/>
  </r>
  <r>
    <n v="35"/>
    <x v="1"/>
    <s v="Travel_Rarely"/>
    <n v="882"/>
    <x v="0"/>
    <n v="3"/>
    <n v="4"/>
    <s v="Life Sciences"/>
    <n v="984"/>
    <n v="4"/>
    <x v="1"/>
    <n v="92"/>
    <n v="3"/>
    <x v="2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x v="2"/>
    <x v="2"/>
    <s v="6-10 yrs"/>
    <x v="0"/>
    <s v="Very Satisfied"/>
    <n v="93876"/>
  </r>
  <r>
    <n v="39"/>
    <x v="1"/>
    <s v="Travel_Rarely"/>
    <n v="903"/>
    <x v="0"/>
    <n v="2"/>
    <n v="5"/>
    <s v="Life Sciences"/>
    <n v="985"/>
    <n v="1"/>
    <x v="1"/>
    <n v="41"/>
    <n v="4"/>
    <x v="2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  <x v="0"/>
    <x v="2"/>
    <s v="6-10 yrs"/>
    <x v="0"/>
    <s v="Satisfied"/>
    <n v="94560"/>
  </r>
  <r>
    <n v="40"/>
    <x v="0"/>
    <s v="Non-Travel"/>
    <n v="1479"/>
    <x v="0"/>
    <n v="24"/>
    <n v="3"/>
    <s v="Life Sciences"/>
    <n v="986"/>
    <n v="2"/>
    <x v="0"/>
    <n v="100"/>
    <n v="4"/>
    <x v="3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  <x v="0"/>
    <x v="3"/>
    <s v="0-2 yrs"/>
    <x v="0"/>
    <s v="Dissatisfied"/>
    <n v="158328"/>
  </r>
  <r>
    <n v="47"/>
    <x v="1"/>
    <s v="Travel_Frequently"/>
    <n v="1379"/>
    <x v="1"/>
    <n v="16"/>
    <n v="4"/>
    <s v="Medical"/>
    <n v="987"/>
    <n v="3"/>
    <x v="1"/>
    <n v="64"/>
    <n v="4"/>
    <x v="0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x v="1"/>
    <x v="0"/>
    <s v="10+ yrs"/>
    <x v="0"/>
    <s v="Satisfied"/>
    <n v="60804"/>
  </r>
  <r>
    <n v="36"/>
    <x v="1"/>
    <s v="Non-Travel"/>
    <n v="1229"/>
    <x v="0"/>
    <n v="8"/>
    <n v="4"/>
    <s v="Technical Degree"/>
    <n v="990"/>
    <n v="1"/>
    <x v="1"/>
    <n v="84"/>
    <n v="3"/>
    <x v="0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x v="0"/>
    <x v="0"/>
    <s v="6-10 yrs"/>
    <x v="0"/>
    <s v="Very Satisfied"/>
    <n v="60948"/>
  </r>
  <r>
    <n v="31"/>
    <x v="0"/>
    <s v="Non-Travel"/>
    <n v="335"/>
    <x v="1"/>
    <n v="9"/>
    <n v="2"/>
    <s v="Medical"/>
    <n v="991"/>
    <n v="3"/>
    <x v="1"/>
    <n v="46"/>
    <n v="2"/>
    <x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  <x v="2"/>
    <x v="1"/>
    <s v="3-5 yrs"/>
    <x v="1"/>
    <s v="Very Dissatisfied"/>
    <n v="27852"/>
  </r>
  <r>
    <n v="33"/>
    <x v="1"/>
    <s v="Non-Travel"/>
    <n v="722"/>
    <x v="0"/>
    <n v="17"/>
    <n v="3"/>
    <s v="Life Sciences"/>
    <n v="992"/>
    <n v="4"/>
    <x v="1"/>
    <n v="38"/>
    <n v="3"/>
    <x v="3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x v="2"/>
    <x v="3"/>
    <s v="6-10 yrs"/>
    <x v="0"/>
    <s v="Satisfied"/>
    <n v="209328"/>
  </r>
  <r>
    <n v="29"/>
    <x v="0"/>
    <s v="Travel_Rarely"/>
    <n v="906"/>
    <x v="1"/>
    <n v="10"/>
    <n v="3"/>
    <s v="Life Sciences"/>
    <n v="994"/>
    <n v="4"/>
    <x v="0"/>
    <n v="92"/>
    <n v="2"/>
    <x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  <x v="2"/>
    <x v="1"/>
    <s v="0-2 yrs"/>
    <x v="1"/>
    <s v="Very Dissatisfied"/>
    <n v="28848"/>
  </r>
  <r>
    <n v="33"/>
    <x v="1"/>
    <s v="Travel_Rarely"/>
    <n v="461"/>
    <x v="1"/>
    <n v="13"/>
    <n v="1"/>
    <s v="Life Sciences"/>
    <n v="995"/>
    <n v="2"/>
    <x v="0"/>
    <n v="53"/>
    <n v="3"/>
    <x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  <x v="2"/>
    <x v="0"/>
    <s v="3-5 yrs"/>
    <x v="0"/>
    <s v="Very Satisfied"/>
    <n v="41424"/>
  </r>
  <r>
    <n v="45"/>
    <x v="1"/>
    <s v="Travel_Rarely"/>
    <n v="974"/>
    <x v="1"/>
    <n v="1"/>
    <n v="4"/>
    <s v="Medical"/>
    <n v="996"/>
    <n v="4"/>
    <x v="0"/>
    <n v="91"/>
    <n v="3"/>
    <x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  <x v="0"/>
    <x v="1"/>
    <s v="3-5 yrs"/>
    <x v="0"/>
    <s v="Very Satisfied"/>
    <n v="27240"/>
  </r>
  <r>
    <n v="50"/>
    <x v="1"/>
    <s v="Travel_Rarely"/>
    <n v="1126"/>
    <x v="1"/>
    <n v="1"/>
    <n v="2"/>
    <s v="Medical"/>
    <n v="997"/>
    <n v="4"/>
    <x v="1"/>
    <n v="66"/>
    <n v="3"/>
    <x v="3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x v="1"/>
    <x v="3"/>
    <s v="3-5 yrs"/>
    <x v="1"/>
    <s v="Very Satisfied"/>
    <n v="208788"/>
  </r>
  <r>
    <n v="33"/>
    <x v="1"/>
    <s v="Travel_Frequently"/>
    <n v="827"/>
    <x v="1"/>
    <n v="1"/>
    <n v="4"/>
    <s v="Other"/>
    <n v="998"/>
    <n v="3"/>
    <x v="0"/>
    <n v="84"/>
    <n v="4"/>
    <x v="0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  <x v="2"/>
    <x v="0"/>
    <s v="6-10 yrs"/>
    <x v="0"/>
    <s v="Dissatisfied"/>
    <n v="65856"/>
  </r>
  <r>
    <n v="41"/>
    <x v="1"/>
    <s v="Travel_Frequently"/>
    <n v="840"/>
    <x v="1"/>
    <n v="9"/>
    <n v="3"/>
    <s v="Medical"/>
    <n v="999"/>
    <n v="1"/>
    <x v="1"/>
    <n v="64"/>
    <n v="3"/>
    <x v="4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x v="0"/>
    <x v="3"/>
    <s v="10+ yrs"/>
    <x v="0"/>
    <s v="Satisfied"/>
    <n v="233028"/>
  </r>
  <r>
    <n v="27"/>
    <x v="1"/>
    <s v="Travel_Rarely"/>
    <n v="1134"/>
    <x v="1"/>
    <n v="16"/>
    <n v="4"/>
    <s v="Technical Degree"/>
    <n v="1001"/>
    <n v="3"/>
    <x v="0"/>
    <n v="37"/>
    <n v="3"/>
    <x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  <x v="2"/>
    <x v="1"/>
    <s v="0-2 yrs"/>
    <x v="0"/>
    <s v="Dissatisfied"/>
    <n v="33732"/>
  </r>
  <r>
    <n v="45"/>
    <x v="1"/>
    <s v="Non-Travel"/>
    <n v="248"/>
    <x v="1"/>
    <n v="23"/>
    <n v="2"/>
    <s v="Life Sciences"/>
    <n v="1002"/>
    <n v="4"/>
    <x v="1"/>
    <n v="42"/>
    <n v="3"/>
    <x v="0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  <x v="0"/>
    <x v="0"/>
    <s v="6-10 yrs"/>
    <x v="0"/>
    <s v="Very Dissatisfied"/>
    <n v="43596"/>
  </r>
  <r>
    <n v="47"/>
    <x v="1"/>
    <s v="Travel_Rarely"/>
    <n v="955"/>
    <x v="0"/>
    <n v="4"/>
    <n v="2"/>
    <s v="Life Sciences"/>
    <n v="1003"/>
    <n v="4"/>
    <x v="0"/>
    <n v="83"/>
    <n v="3"/>
    <x v="0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  <x v="1"/>
    <x v="0"/>
    <s v="6-10 yrs"/>
    <x v="0"/>
    <s v="Very Satisfied"/>
    <n v="49956"/>
  </r>
  <r>
    <n v="30"/>
    <x v="0"/>
    <s v="Travel_Rarely"/>
    <n v="138"/>
    <x v="1"/>
    <n v="22"/>
    <n v="3"/>
    <s v="Life Sciences"/>
    <n v="1004"/>
    <n v="1"/>
    <x v="0"/>
    <n v="48"/>
    <n v="3"/>
    <x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  <x v="2"/>
    <x v="1"/>
    <s v="3-5 yrs"/>
    <x v="0"/>
    <s v="Satisfied"/>
    <n v="25584"/>
  </r>
  <r>
    <n v="50"/>
    <x v="1"/>
    <s v="Travel_Rarely"/>
    <n v="939"/>
    <x v="1"/>
    <n v="24"/>
    <n v="3"/>
    <s v="Life Sciences"/>
    <n v="1005"/>
    <n v="4"/>
    <x v="1"/>
    <n v="95"/>
    <n v="3"/>
    <x v="3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x v="1"/>
    <x v="3"/>
    <s v="10+ yrs"/>
    <x v="0"/>
    <s v="Satisfied"/>
    <n v="167676"/>
  </r>
  <r>
    <n v="38"/>
    <x v="1"/>
    <s v="Travel_Frequently"/>
    <n v="1391"/>
    <x v="1"/>
    <n v="10"/>
    <n v="1"/>
    <s v="Medical"/>
    <n v="1006"/>
    <n v="3"/>
    <x v="1"/>
    <n v="66"/>
    <n v="3"/>
    <x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  <x v="0"/>
    <x v="1"/>
    <s v="0-2 yrs"/>
    <x v="0"/>
    <s v="Satisfied"/>
    <n v="32208"/>
  </r>
  <r>
    <n v="46"/>
    <x v="1"/>
    <s v="Travel_Rarely"/>
    <n v="566"/>
    <x v="1"/>
    <n v="7"/>
    <n v="2"/>
    <s v="Medical"/>
    <n v="1007"/>
    <n v="4"/>
    <x v="1"/>
    <n v="75"/>
    <n v="3"/>
    <x v="2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x v="1"/>
    <x v="3"/>
    <s v="6-10 yrs"/>
    <x v="0"/>
    <s v="Satisfied"/>
    <n v="130140"/>
  </r>
  <r>
    <n v="24"/>
    <x v="1"/>
    <s v="Travel_Rarely"/>
    <n v="1206"/>
    <x v="1"/>
    <n v="17"/>
    <n v="1"/>
    <s v="Medical"/>
    <n v="1009"/>
    <n v="4"/>
    <x v="0"/>
    <n v="41"/>
    <n v="2"/>
    <x v="0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  <x v="3"/>
    <x v="0"/>
    <s v="3-5 yrs"/>
    <x v="0"/>
    <s v="Satisfied"/>
    <n v="52524"/>
  </r>
  <r>
    <n v="35"/>
    <x v="0"/>
    <s v="Travel_Rarely"/>
    <n v="622"/>
    <x v="1"/>
    <n v="14"/>
    <n v="4"/>
    <s v="Other"/>
    <n v="1010"/>
    <n v="3"/>
    <x v="1"/>
    <n v="39"/>
    <n v="2"/>
    <x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  <x v="2"/>
    <x v="0"/>
    <s v="3-5 yrs"/>
    <x v="1"/>
    <s v="Dissatisfied"/>
    <n v="44916"/>
  </r>
  <r>
    <n v="31"/>
    <x v="1"/>
    <s v="Travel_Frequently"/>
    <n v="853"/>
    <x v="1"/>
    <n v="1"/>
    <n v="1"/>
    <s v="Life Sciences"/>
    <n v="1011"/>
    <n v="3"/>
    <x v="0"/>
    <n v="96"/>
    <n v="3"/>
    <x v="0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  <x v="2"/>
    <x v="0"/>
    <s v="3-5 yrs"/>
    <x v="0"/>
    <s v="Very Dissatisfied"/>
    <n v="49776"/>
  </r>
  <r>
    <n v="18"/>
    <x v="1"/>
    <s v="Non-Travel"/>
    <n v="287"/>
    <x v="1"/>
    <n v="5"/>
    <n v="2"/>
    <s v="Life Sciences"/>
    <n v="1012"/>
    <n v="2"/>
    <x v="1"/>
    <n v="73"/>
    <n v="3"/>
    <x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  <x v="3"/>
    <x v="1"/>
    <s v="0-2 yrs"/>
    <x v="0"/>
    <s v="Very Satisfied"/>
    <n v="12612"/>
  </r>
  <r>
    <n v="54"/>
    <x v="1"/>
    <s v="Travel_Rarely"/>
    <n v="1441"/>
    <x v="1"/>
    <n v="17"/>
    <n v="3"/>
    <s v="Technical Degree"/>
    <n v="1013"/>
    <n v="3"/>
    <x v="0"/>
    <n v="56"/>
    <n v="3"/>
    <x v="2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x v="1"/>
    <x v="3"/>
    <s v="6-10 yrs"/>
    <x v="0"/>
    <s v="Satisfied"/>
    <n v="128868"/>
  </r>
  <r>
    <n v="35"/>
    <x v="1"/>
    <s v="Travel_Rarely"/>
    <n v="583"/>
    <x v="1"/>
    <n v="25"/>
    <n v="4"/>
    <s v="Medical"/>
    <n v="1014"/>
    <n v="3"/>
    <x v="0"/>
    <n v="57"/>
    <n v="3"/>
    <x v="2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x v="2"/>
    <x v="3"/>
    <s v="10+ yrs"/>
    <x v="0"/>
    <s v="Satisfied"/>
    <n v="124656"/>
  </r>
  <r>
    <n v="30"/>
    <x v="1"/>
    <s v="Travel_Rarely"/>
    <n v="153"/>
    <x v="1"/>
    <n v="8"/>
    <n v="2"/>
    <s v="Life Sciences"/>
    <n v="1015"/>
    <n v="2"/>
    <x v="0"/>
    <n v="73"/>
    <n v="4"/>
    <x v="2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  <x v="2"/>
    <x v="3"/>
    <s v="6-10 yrs"/>
    <x v="0"/>
    <s v="Very Dissatisfied"/>
    <n v="136992"/>
  </r>
  <r>
    <n v="20"/>
    <x v="0"/>
    <s v="Travel_Rarely"/>
    <n v="1097"/>
    <x v="1"/>
    <n v="11"/>
    <n v="3"/>
    <s v="Medical"/>
    <n v="1016"/>
    <n v="4"/>
    <x v="0"/>
    <n v="98"/>
    <n v="2"/>
    <x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  <x v="3"/>
    <x v="1"/>
    <s v="0-2 yrs"/>
    <x v="0"/>
    <s v="Very Dissatisfied"/>
    <n v="31200"/>
  </r>
  <r>
    <n v="30"/>
    <x v="0"/>
    <s v="Travel_Frequently"/>
    <n v="109"/>
    <x v="1"/>
    <n v="5"/>
    <n v="3"/>
    <s v="Medical"/>
    <n v="1017"/>
    <n v="2"/>
    <x v="0"/>
    <n v="60"/>
    <n v="3"/>
    <x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  <x v="2"/>
    <x v="1"/>
    <s v="3-5 yrs"/>
    <x v="0"/>
    <s v="Dissatisfied"/>
    <n v="29064"/>
  </r>
  <r>
    <n v="26"/>
    <x v="1"/>
    <s v="Travel_Rarely"/>
    <n v="1066"/>
    <x v="1"/>
    <n v="2"/>
    <n v="2"/>
    <s v="Medical"/>
    <n v="1018"/>
    <n v="4"/>
    <x v="1"/>
    <n v="32"/>
    <n v="4"/>
    <x v="0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  <x v="2"/>
    <x v="0"/>
    <s v="6-10 yrs"/>
    <x v="0"/>
    <s v="Very Satisfied"/>
    <n v="65664"/>
  </r>
  <r>
    <n v="22"/>
    <x v="1"/>
    <s v="Travel_Rarely"/>
    <n v="217"/>
    <x v="1"/>
    <n v="8"/>
    <n v="1"/>
    <s v="Life Sciences"/>
    <n v="1019"/>
    <n v="2"/>
    <x v="1"/>
    <n v="94"/>
    <n v="1"/>
    <x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  <x v="3"/>
    <x v="1"/>
    <s v="3-5 yrs"/>
    <x v="0"/>
    <s v="Very Dissatisfied"/>
    <n v="29412"/>
  </r>
  <r>
    <n v="48"/>
    <x v="1"/>
    <s v="Travel_Rarely"/>
    <n v="277"/>
    <x v="1"/>
    <n v="6"/>
    <n v="3"/>
    <s v="Life Sciences"/>
    <n v="1022"/>
    <n v="1"/>
    <x v="1"/>
    <n v="97"/>
    <n v="2"/>
    <x v="0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  <x v="1"/>
    <x v="0"/>
    <s v="0-2 yrs"/>
    <x v="0"/>
    <s v="Satisfied"/>
    <n v="50880"/>
  </r>
  <r>
    <n v="48"/>
    <x v="1"/>
    <s v="Travel_Rarely"/>
    <n v="1355"/>
    <x v="1"/>
    <n v="4"/>
    <n v="4"/>
    <s v="Life Sciences"/>
    <n v="1024"/>
    <n v="3"/>
    <x v="1"/>
    <n v="78"/>
    <n v="2"/>
    <x v="2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x v="1"/>
    <x v="3"/>
    <s v="10+ yrs"/>
    <x v="0"/>
    <s v="Satisfied"/>
    <n v="131988"/>
  </r>
  <r>
    <n v="41"/>
    <x v="1"/>
    <s v="Travel_Rarely"/>
    <n v="549"/>
    <x v="1"/>
    <n v="7"/>
    <n v="2"/>
    <s v="Medical"/>
    <n v="1025"/>
    <n v="4"/>
    <x v="0"/>
    <n v="42"/>
    <n v="3"/>
    <x v="0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  <x v="0"/>
    <x v="0"/>
    <s v="0-2 yrs"/>
    <x v="0"/>
    <s v="Satisfied"/>
    <n v="60036"/>
  </r>
  <r>
    <n v="39"/>
    <x v="1"/>
    <s v="Travel_Rarely"/>
    <n v="466"/>
    <x v="1"/>
    <n v="1"/>
    <n v="1"/>
    <s v="Life Sciences"/>
    <n v="1026"/>
    <n v="4"/>
    <x v="0"/>
    <n v="65"/>
    <n v="2"/>
    <x v="3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x v="0"/>
    <x v="3"/>
    <s v="10+ yrs"/>
    <x v="0"/>
    <s v="Very Satisfied"/>
    <n v="152904"/>
  </r>
  <r>
    <n v="27"/>
    <x v="1"/>
    <s v="Travel_Rarely"/>
    <n v="1055"/>
    <x v="1"/>
    <n v="2"/>
    <n v="4"/>
    <s v="Life Sciences"/>
    <n v="1027"/>
    <n v="1"/>
    <x v="0"/>
    <n v="47"/>
    <n v="3"/>
    <x v="0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  <x v="2"/>
    <x v="0"/>
    <s v="3-5 yrs"/>
    <x v="0"/>
    <s v="Very Satisfied"/>
    <n v="50724"/>
  </r>
  <r>
    <n v="35"/>
    <x v="1"/>
    <s v="Travel_Rarely"/>
    <n v="802"/>
    <x v="1"/>
    <n v="10"/>
    <n v="3"/>
    <s v="Other"/>
    <n v="1028"/>
    <n v="2"/>
    <x v="1"/>
    <n v="45"/>
    <n v="3"/>
    <x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  <x v="2"/>
    <x v="0"/>
    <s v="3-5 yrs"/>
    <x v="1"/>
    <s v="Very Satisfied"/>
    <n v="47004"/>
  </r>
  <r>
    <n v="42"/>
    <x v="1"/>
    <s v="Travel_Rarely"/>
    <n v="265"/>
    <x v="0"/>
    <n v="5"/>
    <n v="2"/>
    <s v="Marketing"/>
    <n v="1029"/>
    <n v="4"/>
    <x v="1"/>
    <n v="90"/>
    <n v="3"/>
    <x v="4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  <x v="0"/>
    <x v="3"/>
    <s v="0-2 yrs"/>
    <x v="0"/>
    <s v="Satisfied"/>
    <n v="219636"/>
  </r>
  <r>
    <n v="50"/>
    <x v="1"/>
    <s v="Travel_Rarely"/>
    <n v="804"/>
    <x v="1"/>
    <n v="9"/>
    <n v="3"/>
    <s v="Life Sciences"/>
    <n v="1030"/>
    <n v="1"/>
    <x v="1"/>
    <n v="64"/>
    <n v="3"/>
    <x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  <x v="1"/>
    <x v="1"/>
    <s v="0-2 yrs"/>
    <x v="0"/>
    <s v="Very Satisfied"/>
    <n v="28560"/>
  </r>
  <r>
    <n v="59"/>
    <x v="1"/>
    <s v="Travel_Rarely"/>
    <n v="715"/>
    <x v="1"/>
    <n v="2"/>
    <n v="3"/>
    <s v="Life Sciences"/>
    <n v="1032"/>
    <n v="3"/>
    <x v="0"/>
    <n v="69"/>
    <n v="2"/>
    <x v="3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  <x v="1"/>
    <x v="3"/>
    <s v="3-5 yrs"/>
    <x v="0"/>
    <s v="Very Satisfied"/>
    <n v="164712"/>
  </r>
  <r>
    <n v="37"/>
    <x v="0"/>
    <s v="Travel_Rarely"/>
    <n v="1141"/>
    <x v="1"/>
    <n v="11"/>
    <n v="2"/>
    <s v="Medical"/>
    <n v="1033"/>
    <n v="1"/>
    <x v="0"/>
    <n v="61"/>
    <n v="1"/>
    <x v="0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  <x v="0"/>
    <x v="0"/>
    <s v="0-2 yrs"/>
    <x v="0"/>
    <s v="Dissatisfied"/>
    <n v="57324"/>
  </r>
  <r>
    <n v="55"/>
    <x v="1"/>
    <s v="Travel_Frequently"/>
    <n v="135"/>
    <x v="1"/>
    <n v="18"/>
    <n v="4"/>
    <s v="Medical"/>
    <n v="1034"/>
    <n v="3"/>
    <x v="1"/>
    <n v="62"/>
    <n v="3"/>
    <x v="0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  <x v="1"/>
    <x v="2"/>
    <s v="6-10 yrs"/>
    <x v="0"/>
    <s v="Dissatisfied"/>
    <n v="76620"/>
  </r>
  <r>
    <n v="41"/>
    <x v="1"/>
    <s v="Non-Travel"/>
    <n v="247"/>
    <x v="1"/>
    <n v="7"/>
    <n v="1"/>
    <s v="Life Sciences"/>
    <n v="1035"/>
    <n v="2"/>
    <x v="0"/>
    <n v="55"/>
    <n v="1"/>
    <x v="4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x v="0"/>
    <x v="3"/>
    <s v="10+ yrs"/>
    <x v="1"/>
    <s v="Satisfied"/>
    <n v="239676"/>
  </r>
  <r>
    <n v="38"/>
    <x v="1"/>
    <s v="Travel_Rarely"/>
    <n v="1035"/>
    <x v="0"/>
    <n v="3"/>
    <n v="4"/>
    <s v="Life Sciences"/>
    <n v="1036"/>
    <n v="2"/>
    <x v="1"/>
    <n v="42"/>
    <n v="3"/>
    <x v="0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  <x v="0"/>
    <x v="2"/>
    <s v="0-2 yrs"/>
    <x v="0"/>
    <s v="Very Satisfied"/>
    <n v="82332"/>
  </r>
  <r>
    <n v="26"/>
    <x v="0"/>
    <s v="Non-Travel"/>
    <n v="265"/>
    <x v="0"/>
    <n v="29"/>
    <n v="2"/>
    <s v="Medical"/>
    <n v="1037"/>
    <n v="2"/>
    <x v="1"/>
    <n v="79"/>
    <n v="1"/>
    <x v="0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  <x v="2"/>
    <x v="0"/>
    <s v="0-2 yrs"/>
    <x v="0"/>
    <s v="Very Dissatisfied"/>
    <n v="59628"/>
  </r>
  <r>
    <n v="52"/>
    <x v="0"/>
    <s v="Travel_Rarely"/>
    <n v="266"/>
    <x v="0"/>
    <n v="2"/>
    <n v="1"/>
    <s v="Marketing"/>
    <n v="1038"/>
    <n v="1"/>
    <x v="0"/>
    <n v="57"/>
    <n v="1"/>
    <x v="4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x v="1"/>
    <x v="3"/>
    <s v="10+ yrs"/>
    <x v="0"/>
    <s v="Very Satisfied"/>
    <n v="238140"/>
  </r>
  <r>
    <n v="44"/>
    <x v="1"/>
    <s v="Travel_Rarely"/>
    <n v="1448"/>
    <x v="0"/>
    <n v="28"/>
    <n v="3"/>
    <s v="Medical"/>
    <n v="1039"/>
    <n v="4"/>
    <x v="0"/>
    <n v="53"/>
    <n v="4"/>
    <x v="3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x v="0"/>
    <x v="3"/>
    <s v="10+ yrs"/>
    <x v="0"/>
    <s v="Very Satisfied"/>
    <n v="159840"/>
  </r>
  <r>
    <n v="50"/>
    <x v="1"/>
    <s v="Non-Travel"/>
    <n v="145"/>
    <x v="0"/>
    <n v="1"/>
    <n v="3"/>
    <s v="Life Sciences"/>
    <n v="1040"/>
    <n v="4"/>
    <x v="0"/>
    <n v="95"/>
    <n v="3"/>
    <x v="0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x v="1"/>
    <x v="2"/>
    <s v="10+ yrs"/>
    <x v="0"/>
    <s v="Satisfied"/>
    <n v="76164"/>
  </r>
  <r>
    <n v="36"/>
    <x v="0"/>
    <s v="Travel_Rarely"/>
    <n v="885"/>
    <x v="1"/>
    <n v="16"/>
    <n v="4"/>
    <s v="Life Sciences"/>
    <n v="1042"/>
    <n v="3"/>
    <x v="0"/>
    <n v="43"/>
    <n v="4"/>
    <x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x v="0"/>
    <x v="1"/>
    <s v="10+ yrs"/>
    <x v="0"/>
    <s v="Very Dissatisfied"/>
    <n v="32916"/>
  </r>
  <r>
    <n v="39"/>
    <x v="1"/>
    <s v="Travel_Frequently"/>
    <n v="945"/>
    <x v="1"/>
    <n v="22"/>
    <n v="3"/>
    <s v="Medical"/>
    <n v="1043"/>
    <n v="4"/>
    <x v="0"/>
    <n v="82"/>
    <n v="3"/>
    <x v="2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  <x v="0"/>
    <x v="3"/>
    <s v="10+ yrs"/>
    <x v="0"/>
    <s v="Very Dissatisfied"/>
    <n v="130560"/>
  </r>
  <r>
    <n v="33"/>
    <x v="1"/>
    <s v="Non-Travel"/>
    <n v="1038"/>
    <x v="0"/>
    <n v="8"/>
    <n v="1"/>
    <s v="Life Sciences"/>
    <n v="1044"/>
    <n v="2"/>
    <x v="0"/>
    <n v="88"/>
    <n v="2"/>
    <x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  <x v="2"/>
    <x v="1"/>
    <s v="0-2 yrs"/>
    <x v="0"/>
    <s v="Very Satisfied"/>
    <n v="28104"/>
  </r>
  <r>
    <n v="45"/>
    <x v="1"/>
    <s v="Travel_Rarely"/>
    <n v="1234"/>
    <x v="0"/>
    <n v="11"/>
    <n v="2"/>
    <s v="Life Sciences"/>
    <n v="1045"/>
    <n v="4"/>
    <x v="0"/>
    <n v="90"/>
    <n v="3"/>
    <x v="3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  <x v="0"/>
    <x v="3"/>
    <s v="6-10 yrs"/>
    <x v="0"/>
    <s v="Very Satisfied"/>
    <n v="211800"/>
  </r>
  <r>
    <n v="32"/>
    <x v="1"/>
    <s v="Non-Travel"/>
    <n v="1109"/>
    <x v="1"/>
    <n v="29"/>
    <n v="4"/>
    <s v="Medical"/>
    <n v="1046"/>
    <n v="4"/>
    <x v="0"/>
    <n v="69"/>
    <n v="3"/>
    <x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  <x v="2"/>
    <x v="0"/>
    <s v="6-10 yrs"/>
    <x v="0"/>
    <s v="Satisfied"/>
    <n v="48300"/>
  </r>
  <r>
    <n v="34"/>
    <x v="1"/>
    <s v="Travel_Rarely"/>
    <n v="216"/>
    <x v="0"/>
    <n v="1"/>
    <n v="4"/>
    <s v="Marketing"/>
    <n v="1047"/>
    <n v="2"/>
    <x v="1"/>
    <n v="75"/>
    <n v="4"/>
    <x v="0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x v="2"/>
    <x v="2"/>
    <s v="10+ yrs"/>
    <x v="0"/>
    <s v="Very Satisfied"/>
    <n v="116700"/>
  </r>
  <r>
    <n v="59"/>
    <x v="1"/>
    <s v="Travel_Rarely"/>
    <n v="1089"/>
    <x v="0"/>
    <n v="1"/>
    <n v="2"/>
    <s v="Technical Degree"/>
    <n v="1048"/>
    <n v="2"/>
    <x v="1"/>
    <n v="66"/>
    <n v="3"/>
    <x v="2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x v="1"/>
    <x v="3"/>
    <s v="6-10 yrs"/>
    <x v="0"/>
    <s v="Very Satisfied"/>
    <n v="142848"/>
  </r>
  <r>
    <n v="45"/>
    <x v="1"/>
    <s v="Travel_Rarely"/>
    <n v="788"/>
    <x v="2"/>
    <n v="24"/>
    <n v="4"/>
    <s v="Medical"/>
    <n v="1049"/>
    <n v="2"/>
    <x v="1"/>
    <n v="36"/>
    <n v="3"/>
    <x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  <x v="0"/>
    <x v="1"/>
    <s v="6-10 yrs"/>
    <x v="0"/>
    <s v="Dissatisfied"/>
    <n v="26124"/>
  </r>
  <r>
    <n v="53"/>
    <x v="1"/>
    <s v="Travel_Frequently"/>
    <n v="124"/>
    <x v="0"/>
    <n v="2"/>
    <n v="3"/>
    <s v="Marketing"/>
    <n v="1050"/>
    <n v="3"/>
    <x v="0"/>
    <n v="38"/>
    <n v="2"/>
    <x v="2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x v="1"/>
    <x v="2"/>
    <s v="10+ yrs"/>
    <x v="0"/>
    <s v="Dissatisfied"/>
    <n v="90300"/>
  </r>
  <r>
    <n v="36"/>
    <x v="0"/>
    <s v="Travel_Rarely"/>
    <n v="660"/>
    <x v="1"/>
    <n v="15"/>
    <n v="3"/>
    <s v="Other"/>
    <n v="1052"/>
    <n v="1"/>
    <x v="1"/>
    <n v="81"/>
    <n v="3"/>
    <x v="0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  <x v="0"/>
    <x v="0"/>
    <s v="0-2 yrs"/>
    <x v="0"/>
    <s v="Satisfied"/>
    <n v="58008"/>
  </r>
  <r>
    <n v="26"/>
    <x v="0"/>
    <s v="Travel_Frequently"/>
    <n v="342"/>
    <x v="1"/>
    <n v="2"/>
    <n v="3"/>
    <s v="Life Sciences"/>
    <n v="1053"/>
    <n v="1"/>
    <x v="1"/>
    <n v="57"/>
    <n v="3"/>
    <x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  <x v="2"/>
    <x v="1"/>
    <s v="3-5 yrs"/>
    <x v="0"/>
    <s v="Very Dissatisfied"/>
    <n v="24504"/>
  </r>
  <r>
    <n v="34"/>
    <x v="1"/>
    <s v="Travel_Rarely"/>
    <n v="1333"/>
    <x v="0"/>
    <n v="10"/>
    <n v="4"/>
    <s v="Life Sciences"/>
    <n v="1055"/>
    <n v="3"/>
    <x v="0"/>
    <n v="87"/>
    <n v="3"/>
    <x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  <x v="2"/>
    <x v="1"/>
    <s v="0-2 yrs"/>
    <x v="0"/>
    <s v="Satisfied"/>
    <n v="26640"/>
  </r>
  <r>
    <n v="28"/>
    <x v="1"/>
    <s v="Travel_Rarely"/>
    <n v="1144"/>
    <x v="0"/>
    <n v="10"/>
    <n v="1"/>
    <s v="Medical"/>
    <n v="1056"/>
    <n v="4"/>
    <x v="1"/>
    <n v="74"/>
    <n v="3"/>
    <x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  <x v="2"/>
    <x v="1"/>
    <s v="0-2 yrs"/>
    <x v="1"/>
    <s v="Dissatisfied"/>
    <n v="12624"/>
  </r>
  <r>
    <n v="38"/>
    <x v="1"/>
    <s v="Travel_Frequently"/>
    <n v="1186"/>
    <x v="1"/>
    <n v="3"/>
    <n v="4"/>
    <s v="Other"/>
    <n v="1060"/>
    <n v="3"/>
    <x v="1"/>
    <n v="44"/>
    <n v="3"/>
    <x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  <x v="0"/>
    <x v="1"/>
    <s v="0-2 yrs"/>
    <x v="0"/>
    <s v="Satisfied"/>
    <n v="33852"/>
  </r>
  <r>
    <n v="50"/>
    <x v="1"/>
    <s v="Travel_Rarely"/>
    <n v="1464"/>
    <x v="1"/>
    <n v="2"/>
    <n v="4"/>
    <s v="Medical"/>
    <n v="1061"/>
    <n v="2"/>
    <x v="1"/>
    <n v="62"/>
    <n v="3"/>
    <x v="4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x v="1"/>
    <x v="3"/>
    <s v="6-10 yrs"/>
    <x v="0"/>
    <s v="Satisfied"/>
    <n v="230844"/>
  </r>
  <r>
    <n v="37"/>
    <x v="1"/>
    <s v="Travel_Rarely"/>
    <n v="124"/>
    <x v="1"/>
    <n v="3"/>
    <n v="3"/>
    <s v="Other"/>
    <n v="1062"/>
    <n v="4"/>
    <x v="0"/>
    <n v="35"/>
    <n v="3"/>
    <x v="0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  <x v="0"/>
    <x v="0"/>
    <s v="3-5 yrs"/>
    <x v="0"/>
    <s v="Dissatisfied"/>
    <n v="49284"/>
  </r>
  <r>
    <n v="40"/>
    <x v="1"/>
    <s v="Travel_Rarely"/>
    <n v="300"/>
    <x v="0"/>
    <n v="26"/>
    <n v="3"/>
    <s v="Marketing"/>
    <n v="1066"/>
    <n v="3"/>
    <x v="1"/>
    <n v="74"/>
    <n v="3"/>
    <x v="0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  <x v="0"/>
    <x v="2"/>
    <s v="6-10 yrs"/>
    <x v="0"/>
    <s v="Very Dissatisfied"/>
    <n v="100752"/>
  </r>
  <r>
    <n v="26"/>
    <x v="1"/>
    <s v="Travel_Frequently"/>
    <n v="921"/>
    <x v="1"/>
    <n v="1"/>
    <n v="1"/>
    <s v="Medical"/>
    <n v="1068"/>
    <n v="1"/>
    <x v="0"/>
    <n v="66"/>
    <n v="2"/>
    <x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  <x v="2"/>
    <x v="1"/>
    <s v="3-5 yrs"/>
    <x v="0"/>
    <s v="Satisfied"/>
    <n v="24084"/>
  </r>
  <r>
    <n v="46"/>
    <x v="1"/>
    <s v="Travel_Rarely"/>
    <n v="430"/>
    <x v="1"/>
    <n v="1"/>
    <n v="4"/>
    <s v="Medical"/>
    <n v="1069"/>
    <n v="4"/>
    <x v="1"/>
    <n v="40"/>
    <n v="3"/>
    <x v="4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x v="1"/>
    <x v="3"/>
    <s v="0-2 yrs"/>
    <x v="0"/>
    <s v="Very Satisfied"/>
    <n v="235524"/>
  </r>
  <r>
    <n v="54"/>
    <x v="1"/>
    <s v="Travel_Rarely"/>
    <n v="1082"/>
    <x v="0"/>
    <n v="2"/>
    <n v="4"/>
    <s v="Life Sciences"/>
    <n v="1070"/>
    <n v="3"/>
    <x v="0"/>
    <n v="41"/>
    <n v="2"/>
    <x v="2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  <x v="1"/>
    <x v="3"/>
    <s v="6-10 yrs"/>
    <x v="0"/>
    <s v="Satisfied"/>
    <n v="128232"/>
  </r>
  <r>
    <n v="56"/>
    <x v="1"/>
    <s v="Travel_Frequently"/>
    <n v="1240"/>
    <x v="1"/>
    <n v="9"/>
    <n v="3"/>
    <s v="Medical"/>
    <n v="1071"/>
    <n v="1"/>
    <x v="0"/>
    <n v="63"/>
    <n v="3"/>
    <x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  <x v="1"/>
    <x v="1"/>
    <s v="3-5 yrs"/>
    <x v="0"/>
    <s v="Satisfied"/>
    <n v="35304"/>
  </r>
  <r>
    <n v="36"/>
    <x v="1"/>
    <s v="Travel_Rarely"/>
    <n v="796"/>
    <x v="1"/>
    <n v="12"/>
    <n v="5"/>
    <s v="Medical"/>
    <n v="1073"/>
    <n v="4"/>
    <x v="0"/>
    <n v="51"/>
    <n v="2"/>
    <x v="2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  <x v="0"/>
    <x v="2"/>
    <s v="10+ yrs"/>
    <x v="0"/>
    <s v="Very Satisfied"/>
    <n v="106296"/>
  </r>
  <r>
    <n v="55"/>
    <x v="1"/>
    <s v="Non-Travel"/>
    <n v="444"/>
    <x v="1"/>
    <n v="2"/>
    <n v="1"/>
    <s v="Medical"/>
    <n v="1074"/>
    <n v="3"/>
    <x v="1"/>
    <n v="40"/>
    <n v="2"/>
    <x v="3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  <x v="1"/>
    <x v="3"/>
    <s v="6-10 yrs"/>
    <x v="0"/>
    <s v="Very Dissatisfied"/>
    <n v="201072"/>
  </r>
  <r>
    <n v="43"/>
    <x v="1"/>
    <s v="Travel_Rarely"/>
    <n v="415"/>
    <x v="0"/>
    <n v="25"/>
    <n v="3"/>
    <s v="Medical"/>
    <n v="1076"/>
    <n v="3"/>
    <x v="1"/>
    <n v="79"/>
    <n v="2"/>
    <x v="2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x v="0"/>
    <x v="3"/>
    <s v="0-2 yrs"/>
    <x v="0"/>
    <s v="Very Satisfied"/>
    <n v="129576"/>
  </r>
  <r>
    <n v="20"/>
    <x v="0"/>
    <s v="Travel_Frequently"/>
    <n v="769"/>
    <x v="0"/>
    <n v="9"/>
    <n v="3"/>
    <s v="Marketing"/>
    <n v="1077"/>
    <n v="4"/>
    <x v="0"/>
    <n v="54"/>
    <n v="3"/>
    <x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  <x v="3"/>
    <x v="1"/>
    <s v="0-2 yrs"/>
    <x v="0"/>
    <s v="Very Satisfied"/>
    <n v="27876"/>
  </r>
  <r>
    <n v="21"/>
    <x v="0"/>
    <s v="Travel_Rarely"/>
    <n v="1334"/>
    <x v="1"/>
    <n v="10"/>
    <n v="3"/>
    <s v="Life Sciences"/>
    <n v="1079"/>
    <n v="3"/>
    <x v="0"/>
    <n v="36"/>
    <n v="2"/>
    <x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  <x v="3"/>
    <x v="1"/>
    <s v="0-2 yrs"/>
    <x v="0"/>
    <s v="Very Dissatisfied"/>
    <n v="16992"/>
  </r>
  <r>
    <n v="46"/>
    <x v="1"/>
    <s v="Travel_Rarely"/>
    <n v="1003"/>
    <x v="1"/>
    <n v="8"/>
    <n v="4"/>
    <s v="Life Sciences"/>
    <n v="1080"/>
    <n v="4"/>
    <x v="0"/>
    <n v="74"/>
    <n v="2"/>
    <x v="0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x v="1"/>
    <x v="0"/>
    <s v="10+ yrs"/>
    <x v="1"/>
    <s v="Very Dissatisfied"/>
    <n v="55380"/>
  </r>
  <r>
    <n v="51"/>
    <x v="0"/>
    <s v="Travel_Rarely"/>
    <n v="1323"/>
    <x v="1"/>
    <n v="4"/>
    <n v="4"/>
    <s v="Life Sciences"/>
    <n v="1081"/>
    <n v="1"/>
    <x v="1"/>
    <n v="34"/>
    <n v="3"/>
    <x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x v="1"/>
    <x v="1"/>
    <s v="6-10 yrs"/>
    <x v="0"/>
    <s v="Satisfied"/>
    <n v="29532"/>
  </r>
  <r>
    <n v="28"/>
    <x v="0"/>
    <s v="Non-Travel"/>
    <n v="1366"/>
    <x v="1"/>
    <n v="24"/>
    <n v="2"/>
    <s v="Technical Degree"/>
    <n v="1082"/>
    <n v="2"/>
    <x v="1"/>
    <n v="72"/>
    <n v="2"/>
    <x v="2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  <x v="2"/>
    <x v="2"/>
    <s v="6-10 yrs"/>
    <x v="0"/>
    <s v="Very Dissatisfied"/>
    <n v="104664"/>
  </r>
  <r>
    <n v="26"/>
    <x v="1"/>
    <s v="Travel_Rarely"/>
    <n v="192"/>
    <x v="1"/>
    <n v="1"/>
    <n v="2"/>
    <s v="Medical"/>
    <n v="1083"/>
    <n v="1"/>
    <x v="1"/>
    <n v="59"/>
    <n v="2"/>
    <x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  <x v="2"/>
    <x v="0"/>
    <s v="3-5 yrs"/>
    <x v="0"/>
    <s v="Very Dissatisfied"/>
    <n v="47460"/>
  </r>
  <r>
    <n v="30"/>
    <x v="1"/>
    <s v="Travel_Rarely"/>
    <n v="1176"/>
    <x v="1"/>
    <n v="20"/>
    <n v="3"/>
    <s v="Other"/>
    <n v="1084"/>
    <n v="3"/>
    <x v="1"/>
    <n v="85"/>
    <n v="3"/>
    <x v="0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  <x v="2"/>
    <x v="2"/>
    <s v="6-10 yrs"/>
    <x v="0"/>
    <s v="Very Dissatisfied"/>
    <n v="119484"/>
  </r>
  <r>
    <n v="41"/>
    <x v="1"/>
    <s v="Travel_Rarely"/>
    <n v="509"/>
    <x v="1"/>
    <n v="7"/>
    <n v="2"/>
    <s v="Technical Degree"/>
    <n v="1085"/>
    <n v="2"/>
    <x v="0"/>
    <n v="43"/>
    <n v="4"/>
    <x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x v="0"/>
    <x v="0"/>
    <s v="6-10 yrs"/>
    <x v="0"/>
    <s v="Satisfied"/>
    <n v="40512"/>
  </r>
  <r>
    <n v="38"/>
    <x v="1"/>
    <s v="Travel_Rarely"/>
    <n v="330"/>
    <x v="1"/>
    <n v="17"/>
    <n v="1"/>
    <s v="Life Sciences"/>
    <n v="1088"/>
    <n v="3"/>
    <x v="0"/>
    <n v="65"/>
    <n v="2"/>
    <x v="2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x v="0"/>
    <x v="2"/>
    <s v="10+ yrs"/>
    <x v="0"/>
    <s v="Satisfied"/>
    <n v="105876"/>
  </r>
  <r>
    <n v="40"/>
    <x v="1"/>
    <s v="Travel_Rarely"/>
    <n v="1492"/>
    <x v="1"/>
    <n v="20"/>
    <n v="4"/>
    <s v="Technical Degree"/>
    <n v="1092"/>
    <n v="1"/>
    <x v="1"/>
    <n v="61"/>
    <n v="3"/>
    <x v="2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x v="0"/>
    <x v="3"/>
    <s v="10+ yrs"/>
    <x v="1"/>
    <s v="Very Satisfied"/>
    <n v="123864"/>
  </r>
  <r>
    <n v="27"/>
    <x v="1"/>
    <s v="Non-Travel"/>
    <n v="1277"/>
    <x v="1"/>
    <n v="8"/>
    <n v="5"/>
    <s v="Life Sciences"/>
    <n v="1094"/>
    <n v="1"/>
    <x v="1"/>
    <n v="87"/>
    <n v="1"/>
    <x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  <x v="2"/>
    <x v="0"/>
    <s v="3-5 yrs"/>
    <x v="0"/>
    <s v="Satisfied"/>
    <n v="55452"/>
  </r>
  <r>
    <n v="55"/>
    <x v="1"/>
    <s v="Travel_Frequently"/>
    <n v="1091"/>
    <x v="1"/>
    <n v="2"/>
    <n v="1"/>
    <s v="Life Sciences"/>
    <n v="1096"/>
    <n v="4"/>
    <x v="1"/>
    <n v="65"/>
    <n v="3"/>
    <x v="2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x v="1"/>
    <x v="3"/>
    <s v="3-5 yrs"/>
    <x v="0"/>
    <s v="Dissatisfied"/>
    <n v="131712"/>
  </r>
  <r>
    <n v="28"/>
    <x v="1"/>
    <s v="Travel_Rarely"/>
    <n v="857"/>
    <x v="1"/>
    <n v="10"/>
    <n v="3"/>
    <s v="Other"/>
    <n v="1097"/>
    <n v="3"/>
    <x v="0"/>
    <n v="59"/>
    <n v="3"/>
    <x v="0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  <x v="2"/>
    <x v="0"/>
    <s v="6-10 yrs"/>
    <x v="0"/>
    <s v="Satisfied"/>
    <n v="43920"/>
  </r>
  <r>
    <n v="44"/>
    <x v="0"/>
    <s v="Travel_Rarely"/>
    <n v="1376"/>
    <x v="2"/>
    <n v="1"/>
    <n v="2"/>
    <s v="Medical"/>
    <n v="1098"/>
    <n v="2"/>
    <x v="1"/>
    <n v="91"/>
    <n v="2"/>
    <x v="2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x v="0"/>
    <x v="3"/>
    <s v="10+ yrs"/>
    <x v="0"/>
    <s v="Very Dissatisfied"/>
    <n v="125784"/>
  </r>
  <r>
    <n v="33"/>
    <x v="1"/>
    <s v="Travel_Rarely"/>
    <n v="654"/>
    <x v="1"/>
    <n v="5"/>
    <n v="3"/>
    <s v="Life Sciences"/>
    <n v="1099"/>
    <n v="4"/>
    <x v="1"/>
    <n v="34"/>
    <n v="2"/>
    <x v="2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  <x v="2"/>
    <x v="2"/>
    <s v="3-5 yrs"/>
    <x v="0"/>
    <s v="Very Satisfied"/>
    <n v="85428"/>
  </r>
  <r>
    <n v="35"/>
    <x v="0"/>
    <s v="Travel_Rarely"/>
    <n v="1204"/>
    <x v="0"/>
    <n v="4"/>
    <n v="3"/>
    <s v="Technical Degree"/>
    <n v="1100"/>
    <n v="4"/>
    <x v="1"/>
    <n v="86"/>
    <n v="3"/>
    <x v="2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  <x v="2"/>
    <x v="2"/>
    <s v="6-10 yrs"/>
    <x v="1"/>
    <s v="Very Dissatisfied"/>
    <n v="114984"/>
  </r>
  <r>
    <n v="33"/>
    <x v="0"/>
    <s v="Travel_Frequently"/>
    <n v="827"/>
    <x v="1"/>
    <n v="29"/>
    <n v="4"/>
    <s v="Medical"/>
    <n v="1101"/>
    <n v="1"/>
    <x v="0"/>
    <n v="54"/>
    <n v="2"/>
    <x v="0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  <x v="2"/>
    <x v="0"/>
    <s v="10+ yrs"/>
    <x v="1"/>
    <s v="Satisfied"/>
    <n v="54096"/>
  </r>
  <r>
    <n v="28"/>
    <x v="1"/>
    <s v="Travel_Rarely"/>
    <n v="895"/>
    <x v="1"/>
    <n v="15"/>
    <n v="2"/>
    <s v="Life Sciences"/>
    <n v="1102"/>
    <n v="1"/>
    <x v="1"/>
    <n v="50"/>
    <n v="3"/>
    <x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  <x v="2"/>
    <x v="1"/>
    <s v="3-5 yrs"/>
    <x v="0"/>
    <s v="Satisfied"/>
    <n v="26484"/>
  </r>
  <r>
    <n v="34"/>
    <x v="1"/>
    <s v="Travel_Frequently"/>
    <n v="618"/>
    <x v="1"/>
    <n v="3"/>
    <n v="1"/>
    <s v="Life Sciences"/>
    <n v="1103"/>
    <n v="1"/>
    <x v="1"/>
    <n v="45"/>
    <n v="3"/>
    <x v="0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  <x v="2"/>
    <x v="2"/>
    <s v="6-10 yrs"/>
    <x v="0"/>
    <s v="Very Satisfied"/>
    <n v="93072"/>
  </r>
  <r>
    <n v="37"/>
    <x v="1"/>
    <s v="Travel_Rarely"/>
    <n v="309"/>
    <x v="0"/>
    <n v="10"/>
    <n v="4"/>
    <s v="Life Sciences"/>
    <n v="1105"/>
    <n v="4"/>
    <x v="0"/>
    <n v="88"/>
    <n v="2"/>
    <x v="0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  <x v="0"/>
    <x v="2"/>
    <s v="0-2 yrs"/>
    <x v="0"/>
    <s v="Very Satisfied"/>
    <n v="80328"/>
  </r>
  <r>
    <n v="25"/>
    <x v="0"/>
    <s v="Travel_Rarely"/>
    <n v="1219"/>
    <x v="1"/>
    <n v="4"/>
    <n v="1"/>
    <s v="Technical Degree"/>
    <n v="1106"/>
    <n v="4"/>
    <x v="1"/>
    <n v="32"/>
    <n v="3"/>
    <x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  <x v="3"/>
    <x v="0"/>
    <s v="6-10 yrs"/>
    <x v="0"/>
    <s v="Very Satisfied"/>
    <n v="44292"/>
  </r>
  <r>
    <n v="26"/>
    <x v="0"/>
    <s v="Travel_Rarely"/>
    <n v="1330"/>
    <x v="1"/>
    <n v="21"/>
    <n v="3"/>
    <s v="Medical"/>
    <n v="1107"/>
    <n v="1"/>
    <x v="1"/>
    <n v="37"/>
    <n v="3"/>
    <x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  <x v="2"/>
    <x v="1"/>
    <s v="0-2 yrs"/>
    <x v="1"/>
    <s v="Satisfied"/>
    <n v="28524"/>
  </r>
  <r>
    <n v="33"/>
    <x v="0"/>
    <s v="Travel_Rarely"/>
    <n v="1017"/>
    <x v="1"/>
    <n v="25"/>
    <n v="3"/>
    <s v="Medical"/>
    <n v="1108"/>
    <n v="1"/>
    <x v="1"/>
    <n v="55"/>
    <n v="2"/>
    <x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  <x v="2"/>
    <x v="1"/>
    <s v="0-2 yrs"/>
    <x v="1"/>
    <s v="Dissatisfied"/>
    <n v="27756"/>
  </r>
  <r>
    <n v="42"/>
    <x v="1"/>
    <s v="Travel_Rarely"/>
    <n v="469"/>
    <x v="1"/>
    <n v="2"/>
    <n v="2"/>
    <s v="Medical"/>
    <n v="1109"/>
    <n v="4"/>
    <x v="1"/>
    <n v="35"/>
    <n v="3"/>
    <x v="3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x v="0"/>
    <x v="3"/>
    <s v="10+ yrs"/>
    <x v="0"/>
    <s v="Very Dissatisfied"/>
    <n v="211980"/>
  </r>
  <r>
    <n v="28"/>
    <x v="0"/>
    <s v="Travel_Frequently"/>
    <n v="1009"/>
    <x v="1"/>
    <n v="1"/>
    <n v="3"/>
    <s v="Medical"/>
    <n v="1111"/>
    <n v="1"/>
    <x v="1"/>
    <n v="45"/>
    <n v="2"/>
    <x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  <x v="2"/>
    <x v="1"/>
    <s v="0-2 yrs"/>
    <x v="0"/>
    <s v="Dissatisfied"/>
    <n v="31152"/>
  </r>
  <r>
    <n v="50"/>
    <x v="0"/>
    <s v="Travel_Frequently"/>
    <n v="959"/>
    <x v="0"/>
    <n v="1"/>
    <n v="4"/>
    <s v="Other"/>
    <n v="1113"/>
    <n v="4"/>
    <x v="1"/>
    <n v="81"/>
    <n v="3"/>
    <x v="0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  <x v="1"/>
    <x v="0"/>
    <s v="0-2 yrs"/>
    <x v="0"/>
    <s v="Satisfied"/>
    <n v="56736"/>
  </r>
  <r>
    <n v="33"/>
    <x v="1"/>
    <s v="Travel_Frequently"/>
    <n v="970"/>
    <x v="0"/>
    <n v="7"/>
    <n v="3"/>
    <s v="Life Sciences"/>
    <n v="1114"/>
    <n v="4"/>
    <x v="0"/>
    <n v="30"/>
    <n v="3"/>
    <x v="0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  <x v="2"/>
    <x v="0"/>
    <s v="3-5 yrs"/>
    <x v="0"/>
    <s v="Dissatisfied"/>
    <n v="51624"/>
  </r>
  <r>
    <n v="34"/>
    <x v="1"/>
    <s v="Non-Travel"/>
    <n v="697"/>
    <x v="1"/>
    <n v="3"/>
    <n v="4"/>
    <s v="Life Sciences"/>
    <n v="1115"/>
    <n v="3"/>
    <x v="1"/>
    <n v="40"/>
    <n v="2"/>
    <x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  <x v="2"/>
    <x v="1"/>
    <s v="0-2 yrs"/>
    <x v="0"/>
    <s v="Very Satisfied"/>
    <n v="35748"/>
  </r>
  <r>
    <n v="48"/>
    <x v="1"/>
    <s v="Non-Travel"/>
    <n v="1262"/>
    <x v="1"/>
    <n v="1"/>
    <n v="4"/>
    <s v="Medical"/>
    <n v="1116"/>
    <n v="1"/>
    <x v="1"/>
    <n v="35"/>
    <n v="4"/>
    <x v="3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  <x v="1"/>
    <x v="3"/>
    <s v="3-5 yrs"/>
    <x v="1"/>
    <s v="Very Satisfied"/>
    <n v="202620"/>
  </r>
  <r>
    <n v="45"/>
    <x v="1"/>
    <s v="Non-Travel"/>
    <n v="1050"/>
    <x v="0"/>
    <n v="9"/>
    <n v="4"/>
    <s v="Life Sciences"/>
    <n v="1117"/>
    <n v="2"/>
    <x v="0"/>
    <n v="65"/>
    <n v="2"/>
    <x v="0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x v="0"/>
    <x v="0"/>
    <s v="10+ yrs"/>
    <x v="0"/>
    <s v="Satisfied"/>
    <n v="67116"/>
  </r>
  <r>
    <n v="52"/>
    <x v="1"/>
    <s v="Travel_Rarely"/>
    <n v="994"/>
    <x v="1"/>
    <n v="7"/>
    <n v="4"/>
    <s v="Life Sciences"/>
    <n v="1118"/>
    <n v="2"/>
    <x v="1"/>
    <n v="87"/>
    <n v="3"/>
    <x v="2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  <x v="1"/>
    <x v="3"/>
    <s v="6-10 yrs"/>
    <x v="0"/>
    <s v="Dissatisfied"/>
    <n v="125340"/>
  </r>
  <r>
    <n v="38"/>
    <x v="1"/>
    <s v="Travel_Rarely"/>
    <n v="770"/>
    <x v="0"/>
    <n v="10"/>
    <n v="4"/>
    <s v="Marketing"/>
    <n v="1119"/>
    <n v="3"/>
    <x v="1"/>
    <n v="73"/>
    <n v="2"/>
    <x v="2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  <x v="0"/>
    <x v="2"/>
    <s v="6-10 yrs"/>
    <x v="0"/>
    <s v="Satisfied"/>
    <n v="104880"/>
  </r>
  <r>
    <n v="29"/>
    <x v="1"/>
    <s v="Travel_Rarely"/>
    <n v="1107"/>
    <x v="1"/>
    <n v="28"/>
    <n v="4"/>
    <s v="Life Sciences"/>
    <n v="1120"/>
    <n v="3"/>
    <x v="0"/>
    <n v="93"/>
    <n v="3"/>
    <x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x v="2"/>
    <x v="1"/>
    <s v="6-10 yrs"/>
    <x v="1"/>
    <s v="Very Satisfied"/>
    <n v="30168"/>
  </r>
  <r>
    <n v="28"/>
    <x v="1"/>
    <s v="Travel_Rarely"/>
    <n v="950"/>
    <x v="1"/>
    <n v="3"/>
    <n v="3"/>
    <s v="Medical"/>
    <n v="1121"/>
    <n v="4"/>
    <x v="0"/>
    <n v="93"/>
    <n v="3"/>
    <x v="2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  <x v="2"/>
    <x v="2"/>
    <s v="6-10 yrs"/>
    <x v="0"/>
    <s v="Dissatisfied"/>
    <n v="91860"/>
  </r>
  <r>
    <n v="46"/>
    <x v="1"/>
    <s v="Travel_Rarely"/>
    <n v="406"/>
    <x v="0"/>
    <n v="3"/>
    <n v="1"/>
    <s v="Marketing"/>
    <n v="1124"/>
    <n v="1"/>
    <x v="1"/>
    <n v="52"/>
    <n v="3"/>
    <x v="3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x v="1"/>
    <x v="3"/>
    <s v="10+ yrs"/>
    <x v="0"/>
    <s v="Satisfied"/>
    <n v="209580"/>
  </r>
  <r>
    <n v="38"/>
    <x v="1"/>
    <s v="Travel_Rarely"/>
    <n v="130"/>
    <x v="0"/>
    <n v="2"/>
    <n v="2"/>
    <s v="Marketing"/>
    <n v="1125"/>
    <n v="4"/>
    <x v="1"/>
    <n v="32"/>
    <n v="3"/>
    <x v="2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  <x v="0"/>
    <x v="2"/>
    <s v="0-2 yrs"/>
    <x v="0"/>
    <s v="Dissatisfied"/>
    <n v="88212"/>
  </r>
  <r>
    <n v="43"/>
    <x v="1"/>
    <s v="Travel_Frequently"/>
    <n v="1082"/>
    <x v="1"/>
    <n v="27"/>
    <n v="3"/>
    <s v="Life Sciences"/>
    <n v="1126"/>
    <n v="3"/>
    <x v="0"/>
    <n v="83"/>
    <n v="3"/>
    <x v="2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x v="0"/>
    <x v="3"/>
    <s v="6-10 yrs"/>
    <x v="0"/>
    <s v="Very Dissatisfied"/>
    <n v="129840"/>
  </r>
  <r>
    <n v="39"/>
    <x v="0"/>
    <s v="Travel_Frequently"/>
    <n v="203"/>
    <x v="1"/>
    <n v="2"/>
    <n v="3"/>
    <s v="Life Sciences"/>
    <n v="1127"/>
    <n v="1"/>
    <x v="1"/>
    <n v="84"/>
    <n v="3"/>
    <x v="3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x v="0"/>
    <x v="3"/>
    <s v="10+ yrs"/>
    <x v="0"/>
    <s v="Very Satisfied"/>
    <n v="146028"/>
  </r>
  <r>
    <n v="40"/>
    <x v="1"/>
    <s v="Travel_Rarely"/>
    <n v="1308"/>
    <x v="1"/>
    <n v="14"/>
    <n v="3"/>
    <s v="Medical"/>
    <n v="1128"/>
    <n v="3"/>
    <x v="1"/>
    <n v="44"/>
    <n v="2"/>
    <x v="4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x v="0"/>
    <x v="3"/>
    <s v="10+ yrs"/>
    <x v="0"/>
    <s v="Satisfied"/>
    <n v="235512"/>
  </r>
  <r>
    <n v="21"/>
    <x v="1"/>
    <s v="Travel_Rarely"/>
    <n v="984"/>
    <x v="1"/>
    <n v="1"/>
    <n v="1"/>
    <s v="Technical Degree"/>
    <n v="1131"/>
    <n v="4"/>
    <x v="0"/>
    <n v="70"/>
    <n v="2"/>
    <x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  <x v="3"/>
    <x v="1"/>
    <s v="0-2 yrs"/>
    <x v="0"/>
    <s v="Dissatisfied"/>
    <n v="24840"/>
  </r>
  <r>
    <n v="39"/>
    <x v="1"/>
    <s v="Non-Travel"/>
    <n v="439"/>
    <x v="1"/>
    <n v="9"/>
    <n v="3"/>
    <s v="Life Sciences"/>
    <n v="1132"/>
    <n v="3"/>
    <x v="1"/>
    <n v="70"/>
    <n v="3"/>
    <x v="0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  <x v="0"/>
    <x v="2"/>
    <s v="3-5 yrs"/>
    <x v="0"/>
    <s v="Dissatisfied"/>
    <n v="81384"/>
  </r>
  <r>
    <n v="36"/>
    <x v="1"/>
    <s v="Non-Travel"/>
    <n v="217"/>
    <x v="1"/>
    <n v="18"/>
    <n v="4"/>
    <s v="Life Sciences"/>
    <n v="1133"/>
    <n v="1"/>
    <x v="1"/>
    <n v="78"/>
    <n v="3"/>
    <x v="0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  <x v="0"/>
    <x v="2"/>
    <s v="10+ yrs"/>
    <x v="1"/>
    <s v="Very Satisfied"/>
    <n v="93348"/>
  </r>
  <r>
    <n v="31"/>
    <x v="1"/>
    <s v="Travel_Frequently"/>
    <n v="793"/>
    <x v="0"/>
    <n v="20"/>
    <n v="3"/>
    <s v="Life Sciences"/>
    <n v="1135"/>
    <n v="3"/>
    <x v="1"/>
    <n v="67"/>
    <n v="4"/>
    <x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  <x v="2"/>
    <x v="1"/>
    <s v="0-2 yrs"/>
    <x v="0"/>
    <s v="Very Satisfied"/>
    <n v="33492"/>
  </r>
  <r>
    <n v="28"/>
    <x v="1"/>
    <s v="Travel_Rarely"/>
    <n v="1451"/>
    <x v="1"/>
    <n v="2"/>
    <n v="1"/>
    <s v="Life Sciences"/>
    <n v="1136"/>
    <n v="1"/>
    <x v="1"/>
    <n v="67"/>
    <n v="2"/>
    <x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  <x v="2"/>
    <x v="0"/>
    <s v="3-5 yrs"/>
    <x v="0"/>
    <s v="Dissatisfied"/>
    <n v="38412"/>
  </r>
  <r>
    <n v="35"/>
    <x v="1"/>
    <s v="Travel_Frequently"/>
    <n v="1182"/>
    <x v="0"/>
    <n v="11"/>
    <n v="2"/>
    <s v="Marketing"/>
    <n v="1137"/>
    <n v="4"/>
    <x v="1"/>
    <n v="54"/>
    <n v="3"/>
    <x v="0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  <x v="2"/>
    <x v="0"/>
    <s v="3-5 yrs"/>
    <x v="0"/>
    <s v="Very Satisfied"/>
    <n v="59616"/>
  </r>
  <r>
    <n v="49"/>
    <x v="1"/>
    <s v="Travel_Rarely"/>
    <n v="174"/>
    <x v="0"/>
    <n v="8"/>
    <n v="4"/>
    <s v="Technical Degree"/>
    <n v="1138"/>
    <n v="4"/>
    <x v="1"/>
    <n v="56"/>
    <n v="2"/>
    <x v="3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x v="1"/>
    <x v="3"/>
    <s v="6-10 yrs"/>
    <x v="0"/>
    <s v="Dissatisfied"/>
    <n v="157440"/>
  </r>
  <r>
    <n v="34"/>
    <x v="1"/>
    <s v="Travel_Frequently"/>
    <n v="1003"/>
    <x v="1"/>
    <n v="2"/>
    <n v="2"/>
    <s v="Life Sciences"/>
    <n v="1140"/>
    <n v="4"/>
    <x v="1"/>
    <n v="95"/>
    <n v="3"/>
    <x v="0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  <x v="2"/>
    <x v="0"/>
    <s v="3-5 yrs"/>
    <x v="0"/>
    <s v="Satisfied"/>
    <n v="48396"/>
  </r>
  <r>
    <n v="29"/>
    <x v="1"/>
    <s v="Travel_Frequently"/>
    <n v="490"/>
    <x v="1"/>
    <n v="10"/>
    <n v="3"/>
    <s v="Life Sciences"/>
    <n v="1143"/>
    <n v="4"/>
    <x v="0"/>
    <n v="61"/>
    <n v="3"/>
    <x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  <x v="2"/>
    <x v="0"/>
    <s v="6-10 yrs"/>
    <x v="0"/>
    <s v="Dissatisfied"/>
    <n v="39492"/>
  </r>
  <r>
    <n v="42"/>
    <x v="1"/>
    <s v="Travel_Rarely"/>
    <n v="188"/>
    <x v="1"/>
    <n v="29"/>
    <n v="3"/>
    <s v="Medical"/>
    <n v="1148"/>
    <n v="2"/>
    <x v="1"/>
    <n v="56"/>
    <n v="1"/>
    <x v="0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  <x v="0"/>
    <x v="0"/>
    <s v="0-2 yrs"/>
    <x v="0"/>
    <s v="Very Satisfied"/>
    <n v="51264"/>
  </r>
  <r>
    <n v="29"/>
    <x v="1"/>
    <s v="Travel_Rarely"/>
    <n v="718"/>
    <x v="1"/>
    <n v="8"/>
    <n v="1"/>
    <s v="Medical"/>
    <n v="1150"/>
    <n v="2"/>
    <x v="1"/>
    <n v="79"/>
    <n v="2"/>
    <x v="0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x v="2"/>
    <x v="0"/>
    <s v="6-10 yrs"/>
    <x v="0"/>
    <s v="Very Satisfied"/>
    <n v="60672"/>
  </r>
  <r>
    <n v="38"/>
    <x v="1"/>
    <s v="Travel_Rarely"/>
    <n v="433"/>
    <x v="2"/>
    <n v="1"/>
    <n v="3"/>
    <s v="Human Resources"/>
    <n v="1152"/>
    <n v="3"/>
    <x v="1"/>
    <n v="37"/>
    <n v="4"/>
    <x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  <x v="0"/>
    <x v="1"/>
    <s v="6-10 yrs"/>
    <x v="0"/>
    <s v="Satisfied"/>
    <n v="34128"/>
  </r>
  <r>
    <n v="28"/>
    <x v="1"/>
    <s v="Travel_Frequently"/>
    <n v="773"/>
    <x v="1"/>
    <n v="6"/>
    <n v="3"/>
    <s v="Life Sciences"/>
    <n v="1154"/>
    <n v="3"/>
    <x v="1"/>
    <n v="39"/>
    <n v="2"/>
    <x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  <x v="2"/>
    <x v="1"/>
    <s v="3-5 yrs"/>
    <x v="0"/>
    <s v="Satisfied"/>
    <n v="32436"/>
  </r>
  <r>
    <n v="18"/>
    <x v="0"/>
    <s v="Non-Travel"/>
    <n v="247"/>
    <x v="1"/>
    <n v="8"/>
    <n v="1"/>
    <s v="Medical"/>
    <n v="1156"/>
    <n v="3"/>
    <x v="1"/>
    <n v="80"/>
    <n v="3"/>
    <x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  <x v="3"/>
    <x v="1"/>
    <s v="0-2 yrs"/>
    <x v="0"/>
    <s v="Satisfied"/>
    <n v="22848"/>
  </r>
  <r>
    <n v="33"/>
    <x v="0"/>
    <s v="Travel_Rarely"/>
    <n v="603"/>
    <x v="0"/>
    <n v="9"/>
    <n v="4"/>
    <s v="Marketing"/>
    <n v="1157"/>
    <n v="1"/>
    <x v="0"/>
    <n v="77"/>
    <n v="3"/>
    <x v="0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  <x v="2"/>
    <x v="2"/>
    <s v="3-5 yrs"/>
    <x v="0"/>
    <s v="Very Dissatisfied"/>
    <n v="98688"/>
  </r>
  <r>
    <n v="41"/>
    <x v="1"/>
    <s v="Travel_Rarely"/>
    <n v="167"/>
    <x v="1"/>
    <n v="12"/>
    <n v="4"/>
    <s v="Life Sciences"/>
    <n v="1158"/>
    <n v="2"/>
    <x v="1"/>
    <n v="46"/>
    <n v="3"/>
    <x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  <x v="0"/>
    <x v="0"/>
    <s v="0-2 yrs"/>
    <x v="0"/>
    <s v="Very Satisfied"/>
    <n v="57192"/>
  </r>
  <r>
    <n v="31"/>
    <x v="0"/>
    <s v="Travel_Frequently"/>
    <n v="874"/>
    <x v="1"/>
    <n v="15"/>
    <n v="3"/>
    <s v="Medical"/>
    <n v="1160"/>
    <n v="3"/>
    <x v="1"/>
    <n v="72"/>
    <n v="3"/>
    <x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  <x v="2"/>
    <x v="1"/>
    <s v="0-2 yrs"/>
    <x v="0"/>
    <s v="Satisfied"/>
    <n v="31320"/>
  </r>
  <r>
    <n v="37"/>
    <x v="1"/>
    <s v="Travel_Rarely"/>
    <n v="367"/>
    <x v="1"/>
    <n v="25"/>
    <n v="2"/>
    <s v="Medical"/>
    <n v="1161"/>
    <n v="3"/>
    <x v="0"/>
    <n v="52"/>
    <n v="2"/>
    <x v="0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  <x v="0"/>
    <x v="0"/>
    <s v="6-10 yrs"/>
    <x v="0"/>
    <s v="Very Satisfied"/>
    <n v="68772"/>
  </r>
  <r>
    <n v="27"/>
    <x v="1"/>
    <s v="Travel_Rarely"/>
    <n v="199"/>
    <x v="1"/>
    <n v="6"/>
    <n v="3"/>
    <s v="Life Sciences"/>
    <n v="1162"/>
    <n v="4"/>
    <x v="1"/>
    <n v="55"/>
    <n v="2"/>
    <x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  <x v="2"/>
    <x v="1"/>
    <s v="3-5 yrs"/>
    <x v="0"/>
    <s v="Satisfied"/>
    <n v="30468"/>
  </r>
  <r>
    <n v="34"/>
    <x v="1"/>
    <s v="Travel_Rarely"/>
    <n v="1400"/>
    <x v="0"/>
    <n v="9"/>
    <n v="1"/>
    <s v="Life Sciences"/>
    <n v="1163"/>
    <n v="2"/>
    <x v="0"/>
    <n v="70"/>
    <n v="3"/>
    <x v="0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  <x v="2"/>
    <x v="0"/>
    <s v="6-10 yrs"/>
    <x v="1"/>
    <s v="Satisfied"/>
    <n v="68568"/>
  </r>
  <r>
    <n v="35"/>
    <x v="1"/>
    <s v="Travel_Rarely"/>
    <n v="528"/>
    <x v="2"/>
    <n v="8"/>
    <n v="4"/>
    <s v="Technical Degree"/>
    <n v="1164"/>
    <n v="3"/>
    <x v="1"/>
    <n v="100"/>
    <n v="3"/>
    <x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  <x v="2"/>
    <x v="0"/>
    <s v="3-5 yrs"/>
    <x v="0"/>
    <s v="Satisfied"/>
    <n v="51876"/>
  </r>
  <r>
    <n v="29"/>
    <x v="0"/>
    <s v="Travel_Rarely"/>
    <n v="408"/>
    <x v="0"/>
    <n v="23"/>
    <n v="1"/>
    <s v="Life Sciences"/>
    <n v="1165"/>
    <n v="4"/>
    <x v="0"/>
    <n v="45"/>
    <n v="2"/>
    <x v="2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x v="2"/>
    <x v="2"/>
    <s v="10+ yrs"/>
    <x v="0"/>
    <s v="Very Dissatisfied"/>
    <n v="88032"/>
  </r>
  <r>
    <n v="40"/>
    <x v="1"/>
    <s v="Travel_Frequently"/>
    <n v="593"/>
    <x v="1"/>
    <n v="9"/>
    <n v="4"/>
    <s v="Medical"/>
    <n v="1166"/>
    <n v="2"/>
    <x v="0"/>
    <n v="88"/>
    <n v="3"/>
    <x v="2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x v="0"/>
    <x v="3"/>
    <s v="10+ yrs"/>
    <x v="0"/>
    <s v="Satisfied"/>
    <n v="161988"/>
  </r>
  <r>
    <n v="42"/>
    <x v="0"/>
    <s v="Travel_Frequently"/>
    <n v="481"/>
    <x v="0"/>
    <n v="12"/>
    <n v="3"/>
    <s v="Life Sciences"/>
    <n v="1167"/>
    <n v="3"/>
    <x v="1"/>
    <n v="44"/>
    <n v="3"/>
    <x v="3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x v="0"/>
    <x v="3"/>
    <s v="10+ yrs"/>
    <x v="0"/>
    <s v="Very Dissatisfied"/>
    <n v="165096"/>
  </r>
  <r>
    <n v="42"/>
    <x v="1"/>
    <s v="Travel_Rarely"/>
    <n v="647"/>
    <x v="0"/>
    <n v="4"/>
    <n v="4"/>
    <s v="Marketing"/>
    <n v="1171"/>
    <n v="2"/>
    <x v="1"/>
    <n v="45"/>
    <n v="3"/>
    <x v="0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  <x v="0"/>
    <x v="0"/>
    <s v="6-10 yrs"/>
    <x v="0"/>
    <s v="Very Dissatisfied"/>
    <n v="61860"/>
  </r>
  <r>
    <n v="35"/>
    <x v="1"/>
    <s v="Travel_Rarely"/>
    <n v="982"/>
    <x v="1"/>
    <n v="1"/>
    <n v="4"/>
    <s v="Medical"/>
    <n v="1172"/>
    <n v="4"/>
    <x v="1"/>
    <n v="58"/>
    <n v="2"/>
    <x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  <x v="2"/>
    <x v="1"/>
    <s v="6-10 yrs"/>
    <x v="0"/>
    <s v="Satisfied"/>
    <n v="27096"/>
  </r>
  <r>
    <n v="24"/>
    <x v="1"/>
    <s v="Travel_Rarely"/>
    <n v="477"/>
    <x v="1"/>
    <n v="24"/>
    <n v="3"/>
    <s v="Medical"/>
    <n v="1173"/>
    <n v="4"/>
    <x v="1"/>
    <n v="49"/>
    <n v="3"/>
    <x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  <x v="3"/>
    <x v="0"/>
    <s v="3-5 yrs"/>
    <x v="1"/>
    <s v="Dissatisfied"/>
    <n v="43164"/>
  </r>
  <r>
    <n v="28"/>
    <x v="0"/>
    <s v="Travel_Rarely"/>
    <n v="1485"/>
    <x v="1"/>
    <n v="12"/>
    <n v="1"/>
    <s v="Life Sciences"/>
    <n v="1175"/>
    <n v="3"/>
    <x v="0"/>
    <n v="79"/>
    <n v="3"/>
    <x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  <x v="2"/>
    <x v="1"/>
    <s v="0-2 yrs"/>
    <x v="0"/>
    <s v="Very Satisfied"/>
    <n v="30180"/>
  </r>
  <r>
    <n v="26"/>
    <x v="1"/>
    <s v="Travel_Rarely"/>
    <n v="1384"/>
    <x v="1"/>
    <n v="3"/>
    <n v="4"/>
    <s v="Medical"/>
    <n v="1177"/>
    <n v="1"/>
    <x v="1"/>
    <n v="82"/>
    <n v="4"/>
    <x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  <x v="2"/>
    <x v="0"/>
    <s v="6-10 yrs"/>
    <x v="1"/>
    <s v="Very Satisfied"/>
    <n v="53040"/>
  </r>
  <r>
    <n v="30"/>
    <x v="1"/>
    <s v="Travel_Rarely"/>
    <n v="852"/>
    <x v="0"/>
    <n v="10"/>
    <n v="3"/>
    <s v="Marketing"/>
    <n v="1179"/>
    <n v="3"/>
    <x v="1"/>
    <n v="72"/>
    <n v="2"/>
    <x v="0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  <x v="2"/>
    <x v="2"/>
    <s v="6-10 yrs"/>
    <x v="0"/>
    <s v="Satisfied"/>
    <n v="78936"/>
  </r>
  <r>
    <n v="40"/>
    <x v="1"/>
    <s v="Travel_Frequently"/>
    <n v="902"/>
    <x v="1"/>
    <n v="26"/>
    <n v="2"/>
    <s v="Medical"/>
    <n v="1180"/>
    <n v="3"/>
    <x v="0"/>
    <n v="92"/>
    <n v="2"/>
    <x v="0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  <x v="0"/>
    <x v="0"/>
    <s v="0-2 yrs"/>
    <x v="0"/>
    <s v="Very Satisfied"/>
    <n v="53064"/>
  </r>
  <r>
    <n v="35"/>
    <x v="1"/>
    <s v="Travel_Rarely"/>
    <n v="819"/>
    <x v="1"/>
    <n v="2"/>
    <n v="3"/>
    <s v="Life Sciences"/>
    <n v="1182"/>
    <n v="3"/>
    <x v="1"/>
    <n v="44"/>
    <n v="2"/>
    <x v="2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x v="2"/>
    <x v="3"/>
    <s v="6-10 yrs"/>
    <x v="0"/>
    <s v="Dissatisfied"/>
    <n v="123288"/>
  </r>
  <r>
    <n v="34"/>
    <x v="1"/>
    <s v="Travel_Frequently"/>
    <n v="669"/>
    <x v="1"/>
    <n v="1"/>
    <n v="3"/>
    <s v="Medical"/>
    <n v="1184"/>
    <n v="4"/>
    <x v="1"/>
    <n v="97"/>
    <n v="2"/>
    <x v="0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  <x v="2"/>
    <x v="0"/>
    <s v="10+ yrs"/>
    <x v="1"/>
    <s v="Very Dissatisfied"/>
    <n v="64116"/>
  </r>
  <r>
    <n v="35"/>
    <x v="1"/>
    <s v="Travel_Frequently"/>
    <n v="636"/>
    <x v="1"/>
    <n v="4"/>
    <n v="4"/>
    <s v="Other"/>
    <n v="1185"/>
    <n v="4"/>
    <x v="1"/>
    <n v="47"/>
    <n v="2"/>
    <x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  <x v="2"/>
    <x v="1"/>
    <s v="0-2 yrs"/>
    <x v="0"/>
    <s v="Very Satisfied"/>
    <n v="28512"/>
  </r>
  <r>
    <n v="43"/>
    <x v="0"/>
    <s v="Travel_Rarely"/>
    <n v="1372"/>
    <x v="0"/>
    <n v="9"/>
    <n v="3"/>
    <s v="Marketing"/>
    <n v="1188"/>
    <n v="1"/>
    <x v="0"/>
    <n v="85"/>
    <n v="1"/>
    <x v="0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  <x v="0"/>
    <x v="0"/>
    <s v="3-5 yrs"/>
    <x v="0"/>
    <s v="Satisfied"/>
    <n v="64152"/>
  </r>
  <r>
    <n v="32"/>
    <x v="1"/>
    <s v="Non-Travel"/>
    <n v="862"/>
    <x v="0"/>
    <n v="2"/>
    <n v="1"/>
    <s v="Life Sciences"/>
    <n v="1190"/>
    <n v="3"/>
    <x v="0"/>
    <n v="76"/>
    <n v="3"/>
    <x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  <x v="2"/>
    <x v="1"/>
    <s v="0-2 yrs"/>
    <x v="0"/>
    <s v="Very Dissatisfied"/>
    <n v="33924"/>
  </r>
  <r>
    <n v="56"/>
    <x v="1"/>
    <s v="Travel_Rarely"/>
    <n v="718"/>
    <x v="1"/>
    <n v="4"/>
    <n v="4"/>
    <s v="Technical Degree"/>
    <n v="1191"/>
    <n v="4"/>
    <x v="0"/>
    <n v="92"/>
    <n v="3"/>
    <x v="4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x v="1"/>
    <x v="3"/>
    <s v="3-5 yrs"/>
    <x v="0"/>
    <s v="Very Dissatisfied"/>
    <n v="239316"/>
  </r>
  <r>
    <n v="29"/>
    <x v="1"/>
    <s v="Travel_Rarely"/>
    <n v="1401"/>
    <x v="1"/>
    <n v="6"/>
    <n v="1"/>
    <s v="Medical"/>
    <n v="1192"/>
    <n v="2"/>
    <x v="0"/>
    <n v="54"/>
    <n v="3"/>
    <x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x v="2"/>
    <x v="0"/>
    <s v="6-10 yrs"/>
    <x v="0"/>
    <s v="Very Satisfied"/>
    <n v="37572"/>
  </r>
  <r>
    <n v="19"/>
    <x v="1"/>
    <s v="Travel_Rarely"/>
    <n v="645"/>
    <x v="1"/>
    <n v="9"/>
    <n v="2"/>
    <s v="Life Sciences"/>
    <n v="1193"/>
    <n v="3"/>
    <x v="1"/>
    <n v="54"/>
    <n v="3"/>
    <x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  <x v="3"/>
    <x v="1"/>
    <s v="0-2 yrs"/>
    <x v="1"/>
    <s v="Very Dissatisfied"/>
    <n v="30624"/>
  </r>
  <r>
    <n v="45"/>
    <x v="1"/>
    <s v="Travel_Rarely"/>
    <n v="1457"/>
    <x v="1"/>
    <n v="7"/>
    <n v="3"/>
    <s v="Medical"/>
    <n v="1195"/>
    <n v="1"/>
    <x v="0"/>
    <n v="83"/>
    <n v="3"/>
    <x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  <x v="0"/>
    <x v="0"/>
    <s v="3-5 yrs"/>
    <x v="0"/>
    <s v="Satisfied"/>
    <n v="53724"/>
  </r>
  <r>
    <n v="37"/>
    <x v="1"/>
    <s v="Travel_Rarely"/>
    <n v="977"/>
    <x v="1"/>
    <n v="1"/>
    <n v="3"/>
    <s v="Life Sciences"/>
    <n v="1196"/>
    <n v="4"/>
    <x v="0"/>
    <n v="56"/>
    <n v="2"/>
    <x v="0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x v="0"/>
    <x v="2"/>
    <s v="10+ yrs"/>
    <x v="0"/>
    <s v="Very Satisfied"/>
    <n v="77688"/>
  </r>
  <r>
    <n v="20"/>
    <x v="1"/>
    <s v="Travel_Rarely"/>
    <n v="805"/>
    <x v="1"/>
    <n v="3"/>
    <n v="3"/>
    <s v="Life Sciences"/>
    <n v="1198"/>
    <n v="1"/>
    <x v="1"/>
    <n v="87"/>
    <n v="2"/>
    <x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  <x v="3"/>
    <x v="0"/>
    <s v="0-2 yrs"/>
    <x v="0"/>
    <s v="Satisfied"/>
    <n v="36396"/>
  </r>
  <r>
    <n v="44"/>
    <x v="0"/>
    <s v="Travel_Rarely"/>
    <n v="1097"/>
    <x v="1"/>
    <n v="10"/>
    <n v="4"/>
    <s v="Life Sciences"/>
    <n v="1200"/>
    <n v="3"/>
    <x v="1"/>
    <n v="96"/>
    <n v="3"/>
    <x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  <x v="0"/>
    <x v="1"/>
    <s v="6-10 yrs"/>
    <x v="0"/>
    <s v="Satisfied"/>
    <n v="35232"/>
  </r>
  <r>
    <n v="53"/>
    <x v="1"/>
    <s v="Travel_Rarely"/>
    <n v="1223"/>
    <x v="1"/>
    <n v="7"/>
    <n v="2"/>
    <s v="Medical"/>
    <n v="1201"/>
    <n v="4"/>
    <x v="0"/>
    <n v="50"/>
    <n v="3"/>
    <x v="4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x v="1"/>
    <x v="3"/>
    <s v="6-10 yrs"/>
    <x v="0"/>
    <s v="Satisfied"/>
    <n v="223272"/>
  </r>
  <r>
    <n v="29"/>
    <x v="1"/>
    <s v="Travel_Rarely"/>
    <n v="942"/>
    <x v="1"/>
    <n v="15"/>
    <n v="1"/>
    <s v="Life Sciences"/>
    <n v="1202"/>
    <n v="2"/>
    <x v="0"/>
    <n v="69"/>
    <n v="1"/>
    <x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  <x v="2"/>
    <x v="1"/>
    <s v="3-5 yrs"/>
    <x v="0"/>
    <s v="Very Satisfied"/>
    <n v="26016"/>
  </r>
  <r>
    <n v="22"/>
    <x v="0"/>
    <s v="Travel_Frequently"/>
    <n v="1256"/>
    <x v="1"/>
    <n v="3"/>
    <n v="4"/>
    <s v="Life Sciences"/>
    <n v="1203"/>
    <n v="3"/>
    <x v="1"/>
    <n v="48"/>
    <n v="2"/>
    <x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  <x v="3"/>
    <x v="1"/>
    <s v="0-2 yrs"/>
    <x v="0"/>
    <s v="Very Satisfied"/>
    <n v="34236"/>
  </r>
  <r>
    <n v="46"/>
    <x v="1"/>
    <s v="Travel_Rarely"/>
    <n v="1402"/>
    <x v="0"/>
    <n v="2"/>
    <n v="3"/>
    <s v="Marketing"/>
    <n v="1204"/>
    <n v="3"/>
    <x v="0"/>
    <n v="69"/>
    <n v="3"/>
    <x v="3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x v="1"/>
    <x v="3"/>
    <s v="10+ yrs"/>
    <x v="1"/>
    <s v="Very Dissatisfied"/>
    <n v="204576"/>
  </r>
  <r>
    <n v="44"/>
    <x v="1"/>
    <s v="Non-Travel"/>
    <n v="111"/>
    <x v="1"/>
    <n v="17"/>
    <n v="3"/>
    <s v="Life Sciences"/>
    <n v="1206"/>
    <n v="4"/>
    <x v="1"/>
    <n v="74"/>
    <n v="1"/>
    <x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  <x v="0"/>
    <x v="1"/>
    <s v="0-2 yrs"/>
    <x v="0"/>
    <s v="Satisfied"/>
    <n v="27480"/>
  </r>
  <r>
    <n v="33"/>
    <x v="1"/>
    <s v="Travel_Rarely"/>
    <n v="147"/>
    <x v="2"/>
    <n v="2"/>
    <n v="3"/>
    <s v="Human Resources"/>
    <n v="1207"/>
    <n v="2"/>
    <x v="1"/>
    <n v="99"/>
    <n v="3"/>
    <x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  <x v="2"/>
    <x v="0"/>
    <s v="3-5 yrs"/>
    <x v="0"/>
    <s v="Satisfied"/>
    <n v="43200"/>
  </r>
  <r>
    <n v="41"/>
    <x v="0"/>
    <s v="Non-Travel"/>
    <n v="906"/>
    <x v="1"/>
    <n v="5"/>
    <n v="2"/>
    <s v="Life Sciences"/>
    <n v="1210"/>
    <n v="1"/>
    <x v="1"/>
    <n v="95"/>
    <n v="2"/>
    <x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  <x v="0"/>
    <x v="1"/>
    <s v="0-2 yrs"/>
    <x v="0"/>
    <s v="Very Dissatisfied"/>
    <n v="25284"/>
  </r>
  <r>
    <n v="30"/>
    <x v="1"/>
    <s v="Travel_Rarely"/>
    <n v="1329"/>
    <x v="0"/>
    <n v="29"/>
    <n v="4"/>
    <s v="Life Sciences"/>
    <n v="1211"/>
    <n v="3"/>
    <x v="1"/>
    <n v="61"/>
    <n v="3"/>
    <x v="0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  <x v="2"/>
    <x v="0"/>
    <s v="3-5 yrs"/>
    <x v="0"/>
    <s v="Very Dissatisfied"/>
    <n v="49380"/>
  </r>
  <r>
    <n v="40"/>
    <x v="1"/>
    <s v="Travel_Frequently"/>
    <n v="1184"/>
    <x v="0"/>
    <n v="2"/>
    <n v="4"/>
    <s v="Medical"/>
    <n v="1212"/>
    <n v="2"/>
    <x v="1"/>
    <n v="62"/>
    <n v="3"/>
    <x v="0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  <x v="0"/>
    <x v="0"/>
    <s v="0-2 yrs"/>
    <x v="0"/>
    <s v="Dissatisfied"/>
    <n v="51924"/>
  </r>
  <r>
    <n v="50"/>
    <x v="1"/>
    <s v="Travel_Frequently"/>
    <n v="1421"/>
    <x v="1"/>
    <n v="2"/>
    <n v="3"/>
    <s v="Medical"/>
    <n v="1215"/>
    <n v="4"/>
    <x v="0"/>
    <n v="30"/>
    <n v="3"/>
    <x v="3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  <x v="1"/>
    <x v="3"/>
    <s v="0-2 yrs"/>
    <x v="1"/>
    <s v="Very Dissatisfied"/>
    <n v="214272"/>
  </r>
  <r>
    <n v="28"/>
    <x v="1"/>
    <s v="Travel_Rarely"/>
    <n v="1179"/>
    <x v="1"/>
    <n v="19"/>
    <n v="4"/>
    <s v="Medical"/>
    <n v="1216"/>
    <n v="4"/>
    <x v="1"/>
    <n v="78"/>
    <n v="2"/>
    <x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  <x v="2"/>
    <x v="0"/>
    <s v="6-10 yrs"/>
    <x v="0"/>
    <s v="Very Dissatisfied"/>
    <n v="38352"/>
  </r>
  <r>
    <n v="46"/>
    <x v="1"/>
    <s v="Travel_Rarely"/>
    <n v="1450"/>
    <x v="1"/>
    <n v="15"/>
    <n v="2"/>
    <s v="Life Sciences"/>
    <n v="1217"/>
    <n v="4"/>
    <x v="1"/>
    <n v="52"/>
    <n v="3"/>
    <x v="4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x v="1"/>
    <x v="3"/>
    <s v="3-5 yrs"/>
    <x v="0"/>
    <s v="Dissatisfied"/>
    <n v="228972"/>
  </r>
  <r>
    <n v="35"/>
    <x v="1"/>
    <s v="Travel_Rarely"/>
    <n v="1361"/>
    <x v="0"/>
    <n v="17"/>
    <n v="4"/>
    <s v="Life Sciences"/>
    <n v="1218"/>
    <n v="3"/>
    <x v="1"/>
    <n v="94"/>
    <n v="3"/>
    <x v="0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  <x v="2"/>
    <x v="2"/>
    <s v="6-10 yrs"/>
    <x v="0"/>
    <s v="Very Dissatisfied"/>
    <n v="107592"/>
  </r>
  <r>
    <n v="24"/>
    <x v="0"/>
    <s v="Travel_Rarely"/>
    <n v="984"/>
    <x v="1"/>
    <n v="17"/>
    <n v="2"/>
    <s v="Life Sciences"/>
    <n v="1219"/>
    <n v="4"/>
    <x v="0"/>
    <n v="97"/>
    <n v="3"/>
    <x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  <x v="3"/>
    <x v="1"/>
    <s v="0-2 yrs"/>
    <x v="0"/>
    <s v="Dissatisfied"/>
    <n v="26520"/>
  </r>
  <r>
    <n v="33"/>
    <x v="1"/>
    <s v="Travel_Frequently"/>
    <n v="1146"/>
    <x v="0"/>
    <n v="25"/>
    <n v="3"/>
    <s v="Medical"/>
    <n v="1220"/>
    <n v="2"/>
    <x v="0"/>
    <n v="82"/>
    <n v="3"/>
    <x v="0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  <x v="2"/>
    <x v="0"/>
    <s v="6-10 yrs"/>
    <x v="0"/>
    <s v="Satisfied"/>
    <n v="54468"/>
  </r>
  <r>
    <n v="36"/>
    <x v="1"/>
    <s v="Travel_Rarely"/>
    <n v="917"/>
    <x v="1"/>
    <n v="6"/>
    <n v="4"/>
    <s v="Life Sciences"/>
    <n v="1221"/>
    <n v="3"/>
    <x v="1"/>
    <n v="60"/>
    <n v="1"/>
    <x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  <x v="0"/>
    <x v="1"/>
    <s v="6-10 yrs"/>
    <x v="0"/>
    <s v="Satisfied"/>
    <n v="32892"/>
  </r>
  <r>
    <n v="30"/>
    <x v="1"/>
    <s v="Travel_Rarely"/>
    <n v="853"/>
    <x v="1"/>
    <n v="7"/>
    <n v="4"/>
    <s v="Life Sciences"/>
    <n v="1224"/>
    <n v="3"/>
    <x v="1"/>
    <n v="49"/>
    <n v="3"/>
    <x v="0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x v="2"/>
    <x v="0"/>
    <s v="6-10 yrs"/>
    <x v="0"/>
    <s v="Satisfied"/>
    <n v="41892"/>
  </r>
  <r>
    <n v="44"/>
    <x v="1"/>
    <s v="Travel_Rarely"/>
    <n v="200"/>
    <x v="1"/>
    <n v="29"/>
    <n v="4"/>
    <s v="Other"/>
    <n v="1225"/>
    <n v="4"/>
    <x v="1"/>
    <n v="32"/>
    <n v="3"/>
    <x v="0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x v="0"/>
    <x v="0"/>
    <s v="10+ yrs"/>
    <x v="1"/>
    <s v="Very Satisfied"/>
    <n v="54492"/>
  </r>
  <r>
    <n v="20"/>
    <x v="1"/>
    <s v="Travel_Rarely"/>
    <n v="654"/>
    <x v="0"/>
    <n v="21"/>
    <n v="3"/>
    <s v="Marketing"/>
    <n v="1226"/>
    <n v="3"/>
    <x v="1"/>
    <n v="43"/>
    <n v="4"/>
    <x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  <x v="3"/>
    <x v="1"/>
    <s v="0-2 yrs"/>
    <x v="0"/>
    <s v="Very Satisfied"/>
    <n v="32136"/>
  </r>
  <r>
    <n v="46"/>
    <x v="1"/>
    <s v="Travel_Rarely"/>
    <n v="150"/>
    <x v="1"/>
    <n v="2"/>
    <n v="4"/>
    <s v="Technical Degree"/>
    <n v="1228"/>
    <n v="4"/>
    <x v="1"/>
    <n v="60"/>
    <n v="3"/>
    <x v="0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x v="1"/>
    <x v="2"/>
    <s v="6-10 yrs"/>
    <x v="0"/>
    <s v="Very Satisfied"/>
    <n v="88548"/>
  </r>
  <r>
    <n v="42"/>
    <x v="1"/>
    <s v="Non-Travel"/>
    <n v="179"/>
    <x v="2"/>
    <n v="2"/>
    <n v="5"/>
    <s v="Medical"/>
    <n v="1231"/>
    <n v="4"/>
    <x v="1"/>
    <n v="79"/>
    <n v="4"/>
    <x v="0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  <x v="0"/>
    <x v="2"/>
    <s v="3-5 yrs"/>
    <x v="0"/>
    <s v="Very Dissatisfied"/>
    <n v="75264"/>
  </r>
  <r>
    <n v="60"/>
    <x v="1"/>
    <s v="Travel_Rarely"/>
    <n v="696"/>
    <x v="0"/>
    <n v="7"/>
    <n v="4"/>
    <s v="Marketing"/>
    <n v="1233"/>
    <n v="2"/>
    <x v="1"/>
    <n v="52"/>
    <n v="4"/>
    <x v="0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x v="1"/>
    <x v="0"/>
    <s v="10+ yrs"/>
    <x v="0"/>
    <s v="Very Satisfied"/>
    <n v="62640"/>
  </r>
  <r>
    <n v="32"/>
    <x v="1"/>
    <s v="Travel_Frequently"/>
    <n v="116"/>
    <x v="1"/>
    <n v="13"/>
    <n v="3"/>
    <s v="Other"/>
    <n v="1234"/>
    <n v="3"/>
    <x v="0"/>
    <n v="77"/>
    <n v="2"/>
    <x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  <x v="2"/>
    <x v="1"/>
    <s v="0-2 yrs"/>
    <x v="1"/>
    <s v="Dissatisfied"/>
    <n v="32916"/>
  </r>
  <r>
    <n v="32"/>
    <x v="1"/>
    <s v="Travel_Frequently"/>
    <n v="1316"/>
    <x v="1"/>
    <n v="2"/>
    <n v="2"/>
    <s v="Life Sciences"/>
    <n v="1235"/>
    <n v="4"/>
    <x v="0"/>
    <n v="38"/>
    <n v="3"/>
    <x v="0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  <x v="2"/>
    <x v="0"/>
    <s v="6-10 yrs"/>
    <x v="0"/>
    <s v="Satisfied"/>
    <n v="59976"/>
  </r>
  <r>
    <n v="36"/>
    <x v="1"/>
    <s v="Travel_Rarely"/>
    <n v="363"/>
    <x v="1"/>
    <n v="1"/>
    <n v="3"/>
    <s v="Technical Degree"/>
    <n v="1237"/>
    <n v="3"/>
    <x v="0"/>
    <n v="77"/>
    <n v="1"/>
    <x v="2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x v="0"/>
    <x v="3"/>
    <s v="6-10 yrs"/>
    <x v="1"/>
    <s v="Very Dissatisfied"/>
    <n v="123024"/>
  </r>
  <r>
    <n v="33"/>
    <x v="1"/>
    <s v="Travel_Rarely"/>
    <n v="117"/>
    <x v="1"/>
    <n v="9"/>
    <n v="3"/>
    <s v="Medical"/>
    <n v="1238"/>
    <n v="1"/>
    <x v="1"/>
    <n v="60"/>
    <n v="3"/>
    <x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x v="2"/>
    <x v="1"/>
    <s v="10+ yrs"/>
    <x v="0"/>
    <s v="Very Satisfied"/>
    <n v="33372"/>
  </r>
  <r>
    <n v="40"/>
    <x v="1"/>
    <s v="Travel_Rarely"/>
    <n v="107"/>
    <x v="0"/>
    <n v="10"/>
    <n v="3"/>
    <s v="Technical Degree"/>
    <n v="1239"/>
    <n v="2"/>
    <x v="0"/>
    <n v="84"/>
    <n v="2"/>
    <x v="0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  <x v="0"/>
    <x v="2"/>
    <s v="3-5 yrs"/>
    <x v="0"/>
    <s v="Dissatisfied"/>
    <n v="82224"/>
  </r>
  <r>
    <n v="25"/>
    <x v="1"/>
    <s v="Travel_Rarely"/>
    <n v="1356"/>
    <x v="0"/>
    <n v="10"/>
    <n v="4"/>
    <s v="Life Sciences"/>
    <n v="1240"/>
    <n v="3"/>
    <x v="1"/>
    <n v="57"/>
    <n v="3"/>
    <x v="0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  <x v="3"/>
    <x v="0"/>
    <s v="3-5 yrs"/>
    <x v="0"/>
    <s v="Very Satisfied"/>
    <n v="59400"/>
  </r>
  <r>
    <n v="30"/>
    <x v="1"/>
    <s v="Travel_Rarely"/>
    <n v="1465"/>
    <x v="1"/>
    <n v="1"/>
    <n v="3"/>
    <s v="Medical"/>
    <n v="1241"/>
    <n v="4"/>
    <x v="1"/>
    <n v="63"/>
    <n v="3"/>
    <x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  <x v="2"/>
    <x v="0"/>
    <s v="10+ yrs"/>
    <x v="1"/>
    <s v="Dissatisfied"/>
    <n v="42948"/>
  </r>
  <r>
    <n v="42"/>
    <x v="1"/>
    <s v="Travel_Frequently"/>
    <n v="458"/>
    <x v="1"/>
    <n v="26"/>
    <n v="5"/>
    <s v="Medical"/>
    <n v="1242"/>
    <n v="1"/>
    <x v="0"/>
    <n v="60"/>
    <n v="3"/>
    <x v="2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x v="0"/>
    <x v="3"/>
    <s v="0-2 yrs"/>
    <x v="0"/>
    <s v="Very Dissatisfied"/>
    <n v="158292"/>
  </r>
  <r>
    <n v="35"/>
    <x v="1"/>
    <s v="Non-Travel"/>
    <n v="1212"/>
    <x v="0"/>
    <n v="8"/>
    <n v="2"/>
    <s v="Marketing"/>
    <n v="1243"/>
    <n v="3"/>
    <x v="0"/>
    <n v="78"/>
    <n v="2"/>
    <x v="2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x v="2"/>
    <x v="3"/>
    <s v="10+ yrs"/>
    <x v="0"/>
    <s v="Very Satisfied"/>
    <n v="124524"/>
  </r>
  <r>
    <n v="27"/>
    <x v="1"/>
    <s v="Travel_Rarely"/>
    <n v="1103"/>
    <x v="1"/>
    <n v="14"/>
    <n v="3"/>
    <s v="Life Sciences"/>
    <n v="1244"/>
    <n v="1"/>
    <x v="1"/>
    <n v="42"/>
    <n v="3"/>
    <x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  <x v="2"/>
    <x v="1"/>
    <s v="6-10 yrs"/>
    <x v="0"/>
    <s v="Very Dissatisfied"/>
    <n v="26820"/>
  </r>
  <r>
    <n v="54"/>
    <x v="1"/>
    <s v="Travel_Frequently"/>
    <n v="966"/>
    <x v="1"/>
    <n v="1"/>
    <n v="4"/>
    <s v="Life Sciences"/>
    <n v="1245"/>
    <n v="4"/>
    <x v="0"/>
    <n v="53"/>
    <n v="3"/>
    <x v="2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x v="1"/>
    <x v="3"/>
    <s v="3-5 yrs"/>
    <x v="0"/>
    <s v="Satisfied"/>
    <n v="126024"/>
  </r>
  <r>
    <n v="44"/>
    <x v="1"/>
    <s v="Travel_Rarely"/>
    <n v="1117"/>
    <x v="1"/>
    <n v="2"/>
    <n v="1"/>
    <s v="Life Sciences"/>
    <n v="1246"/>
    <n v="1"/>
    <x v="0"/>
    <n v="72"/>
    <n v="4"/>
    <x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x v="0"/>
    <x v="1"/>
    <s v="6-10 yrs"/>
    <x v="0"/>
    <s v="Very Satisfied"/>
    <n v="24132"/>
  </r>
  <r>
    <n v="19"/>
    <x v="0"/>
    <s v="Non-Travel"/>
    <n v="504"/>
    <x v="1"/>
    <n v="10"/>
    <n v="3"/>
    <s v="Medical"/>
    <n v="1248"/>
    <n v="1"/>
    <x v="0"/>
    <n v="96"/>
    <n v="2"/>
    <x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  <x v="3"/>
    <x v="1"/>
    <s v="0-2 yrs"/>
    <x v="1"/>
    <s v="Dissatisfied"/>
    <n v="22308"/>
  </r>
  <r>
    <n v="29"/>
    <x v="1"/>
    <s v="Travel_Rarely"/>
    <n v="1010"/>
    <x v="1"/>
    <n v="1"/>
    <n v="3"/>
    <s v="Life Sciences"/>
    <n v="1249"/>
    <n v="1"/>
    <x v="0"/>
    <n v="97"/>
    <n v="3"/>
    <x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  <x v="2"/>
    <x v="0"/>
    <s v="3-5 yrs"/>
    <x v="0"/>
    <s v="Very Satisfied"/>
    <n v="45120"/>
  </r>
  <r>
    <n v="54"/>
    <x v="1"/>
    <s v="Travel_Rarely"/>
    <n v="685"/>
    <x v="1"/>
    <n v="3"/>
    <n v="3"/>
    <s v="Life Sciences"/>
    <n v="1250"/>
    <n v="4"/>
    <x v="1"/>
    <n v="85"/>
    <n v="3"/>
    <x v="3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x v="1"/>
    <x v="3"/>
    <s v="6-10 yrs"/>
    <x v="0"/>
    <s v="Very Satisfied"/>
    <n v="213348"/>
  </r>
  <r>
    <n v="31"/>
    <x v="1"/>
    <s v="Travel_Rarely"/>
    <n v="1332"/>
    <x v="1"/>
    <n v="11"/>
    <n v="2"/>
    <s v="Medical"/>
    <n v="1251"/>
    <n v="3"/>
    <x v="1"/>
    <n v="80"/>
    <n v="3"/>
    <x v="0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  <x v="2"/>
    <x v="2"/>
    <s v="6-10 yrs"/>
    <x v="0"/>
    <s v="Very Dissatisfied"/>
    <n v="81996"/>
  </r>
  <r>
    <n v="31"/>
    <x v="1"/>
    <s v="Travel_Rarely"/>
    <n v="1062"/>
    <x v="1"/>
    <n v="24"/>
    <n v="3"/>
    <s v="Medical"/>
    <n v="1252"/>
    <n v="3"/>
    <x v="0"/>
    <n v="96"/>
    <n v="2"/>
    <x v="0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  <x v="2"/>
    <x v="2"/>
    <s v="6-10 yrs"/>
    <x v="0"/>
    <s v="Very Dissatisfied"/>
    <n v="81744"/>
  </r>
  <r>
    <n v="59"/>
    <x v="1"/>
    <s v="Travel_Rarely"/>
    <n v="326"/>
    <x v="0"/>
    <n v="3"/>
    <n v="3"/>
    <s v="Life Sciences"/>
    <n v="1254"/>
    <n v="3"/>
    <x v="0"/>
    <n v="48"/>
    <n v="2"/>
    <x v="0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  <x v="1"/>
    <x v="0"/>
    <s v="6-10 yrs"/>
    <x v="0"/>
    <s v="Very Satisfied"/>
    <n v="62052"/>
  </r>
  <r>
    <n v="43"/>
    <x v="1"/>
    <s v="Travel_Rarely"/>
    <n v="920"/>
    <x v="1"/>
    <n v="3"/>
    <n v="3"/>
    <s v="Life Sciences"/>
    <n v="1255"/>
    <n v="3"/>
    <x v="1"/>
    <n v="96"/>
    <n v="1"/>
    <x v="4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x v="0"/>
    <x v="3"/>
    <s v="6-10 yrs"/>
    <x v="0"/>
    <s v="Very Satisfied"/>
    <n v="236880"/>
  </r>
  <r>
    <n v="49"/>
    <x v="1"/>
    <s v="Travel_Rarely"/>
    <n v="1098"/>
    <x v="1"/>
    <n v="4"/>
    <n v="2"/>
    <s v="Medical"/>
    <n v="1256"/>
    <n v="1"/>
    <x v="1"/>
    <n v="85"/>
    <n v="2"/>
    <x v="4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x v="1"/>
    <x v="3"/>
    <s v="0-2 yrs"/>
    <x v="0"/>
    <s v="Satisfied"/>
    <n v="224532"/>
  </r>
  <r>
    <n v="36"/>
    <x v="1"/>
    <s v="Travel_Frequently"/>
    <n v="469"/>
    <x v="1"/>
    <n v="3"/>
    <n v="3"/>
    <s v="Technical Degree"/>
    <n v="1257"/>
    <n v="3"/>
    <x v="1"/>
    <n v="46"/>
    <n v="3"/>
    <x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x v="0"/>
    <x v="0"/>
    <s v="10+ yrs"/>
    <x v="0"/>
    <s v="Dissatisfied"/>
    <n v="44304"/>
  </r>
  <r>
    <n v="48"/>
    <x v="1"/>
    <s v="Travel_Rarely"/>
    <n v="969"/>
    <x v="1"/>
    <n v="2"/>
    <n v="2"/>
    <s v="Technical Degree"/>
    <n v="1258"/>
    <n v="4"/>
    <x v="1"/>
    <n v="76"/>
    <n v="4"/>
    <x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  <x v="1"/>
    <x v="1"/>
    <s v="0-2 yrs"/>
    <x v="0"/>
    <s v="Dissatisfied"/>
    <n v="30708"/>
  </r>
  <r>
    <n v="27"/>
    <x v="1"/>
    <s v="Travel_Rarely"/>
    <n v="1167"/>
    <x v="1"/>
    <n v="4"/>
    <n v="2"/>
    <s v="Life Sciences"/>
    <n v="1259"/>
    <n v="1"/>
    <x v="1"/>
    <n v="76"/>
    <n v="3"/>
    <x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  <x v="2"/>
    <x v="1"/>
    <s v="3-5 yrs"/>
    <x v="0"/>
    <s v="Satisfied"/>
    <n v="30204"/>
  </r>
  <r>
    <n v="29"/>
    <x v="1"/>
    <s v="Travel_Rarely"/>
    <n v="1329"/>
    <x v="1"/>
    <n v="7"/>
    <n v="3"/>
    <s v="Life Sciences"/>
    <n v="1260"/>
    <n v="3"/>
    <x v="1"/>
    <n v="82"/>
    <n v="3"/>
    <x v="0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  <x v="2"/>
    <x v="2"/>
    <s v="6-10 yrs"/>
    <x v="0"/>
    <s v="Very Satisfied"/>
    <n v="79476"/>
  </r>
  <r>
    <n v="48"/>
    <x v="1"/>
    <s v="Travel_Rarely"/>
    <n v="715"/>
    <x v="1"/>
    <n v="1"/>
    <n v="3"/>
    <s v="Life Sciences"/>
    <n v="1263"/>
    <n v="4"/>
    <x v="1"/>
    <n v="76"/>
    <n v="2"/>
    <x v="4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  <x v="1"/>
    <x v="3"/>
    <s v="0-2 yrs"/>
    <x v="0"/>
    <s v="Very Satisfied"/>
    <n v="219180"/>
  </r>
  <r>
    <n v="29"/>
    <x v="1"/>
    <s v="Travel_Rarely"/>
    <n v="694"/>
    <x v="1"/>
    <n v="1"/>
    <n v="3"/>
    <s v="Life Sciences"/>
    <n v="1264"/>
    <n v="4"/>
    <x v="0"/>
    <n v="87"/>
    <n v="2"/>
    <x v="3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  <x v="2"/>
    <x v="3"/>
    <s v="6-10 yrs"/>
    <x v="0"/>
    <s v="Very Satisfied"/>
    <n v="193488"/>
  </r>
  <r>
    <n v="34"/>
    <x v="1"/>
    <s v="Travel_Rarely"/>
    <n v="1320"/>
    <x v="1"/>
    <n v="20"/>
    <n v="3"/>
    <s v="Technical Degree"/>
    <n v="1265"/>
    <n v="3"/>
    <x v="0"/>
    <n v="89"/>
    <n v="4"/>
    <x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  <x v="2"/>
    <x v="1"/>
    <s v="0-2 yrs"/>
    <x v="0"/>
    <s v="Satisfied"/>
    <n v="31020"/>
  </r>
  <r>
    <n v="44"/>
    <x v="1"/>
    <s v="Travel_Rarely"/>
    <n v="1099"/>
    <x v="0"/>
    <n v="5"/>
    <n v="3"/>
    <s v="Marketing"/>
    <n v="1267"/>
    <n v="2"/>
    <x v="1"/>
    <n v="88"/>
    <n v="3"/>
    <x v="4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x v="0"/>
    <x v="3"/>
    <s v="10+ yrs"/>
    <x v="0"/>
    <s v="Dissatisfied"/>
    <n v="218556"/>
  </r>
  <r>
    <n v="33"/>
    <x v="1"/>
    <s v="Travel_Rarely"/>
    <n v="536"/>
    <x v="0"/>
    <n v="10"/>
    <n v="5"/>
    <s v="Marketing"/>
    <n v="1268"/>
    <n v="4"/>
    <x v="1"/>
    <n v="82"/>
    <n v="4"/>
    <x v="2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x v="2"/>
    <x v="2"/>
    <s v="6-10 yrs"/>
    <x v="0"/>
    <s v="Satisfied"/>
    <n v="100560"/>
  </r>
  <r>
    <n v="19"/>
    <x v="1"/>
    <s v="Travel_Rarely"/>
    <n v="265"/>
    <x v="1"/>
    <n v="25"/>
    <n v="3"/>
    <s v="Life Sciences"/>
    <n v="1269"/>
    <n v="2"/>
    <x v="0"/>
    <n v="57"/>
    <n v="4"/>
    <x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  <x v="3"/>
    <x v="1"/>
    <s v="0-2 yrs"/>
    <x v="0"/>
    <s v="Very Satisfied"/>
    <n v="35928"/>
  </r>
  <r>
    <n v="23"/>
    <x v="1"/>
    <s v="Travel_Rarely"/>
    <n v="373"/>
    <x v="1"/>
    <n v="1"/>
    <n v="2"/>
    <s v="Life Sciences"/>
    <n v="1270"/>
    <n v="4"/>
    <x v="1"/>
    <n v="47"/>
    <n v="3"/>
    <x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  <x v="3"/>
    <x v="1"/>
    <s v="0-2 yrs"/>
    <x v="1"/>
    <s v="Satisfied"/>
    <n v="14676"/>
  </r>
  <r>
    <n v="25"/>
    <x v="0"/>
    <s v="Travel_Frequently"/>
    <n v="599"/>
    <x v="0"/>
    <n v="24"/>
    <n v="1"/>
    <s v="Life Sciences"/>
    <n v="1273"/>
    <n v="3"/>
    <x v="1"/>
    <n v="73"/>
    <n v="1"/>
    <x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  <x v="3"/>
    <x v="1"/>
    <s v="0-2 yrs"/>
    <x v="0"/>
    <s v="Very Satisfied"/>
    <n v="13416"/>
  </r>
  <r>
    <n v="26"/>
    <x v="1"/>
    <s v="Travel_Rarely"/>
    <n v="583"/>
    <x v="1"/>
    <n v="4"/>
    <n v="2"/>
    <s v="Life Sciences"/>
    <n v="1275"/>
    <n v="3"/>
    <x v="1"/>
    <n v="53"/>
    <n v="3"/>
    <x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  <x v="2"/>
    <x v="1"/>
    <s v="6-10 yrs"/>
    <x v="1"/>
    <s v="Very Satisfied"/>
    <n v="34500"/>
  </r>
  <r>
    <n v="45"/>
    <x v="0"/>
    <s v="Travel_Rarely"/>
    <n v="1449"/>
    <x v="0"/>
    <n v="2"/>
    <n v="3"/>
    <s v="Marketing"/>
    <n v="1277"/>
    <n v="1"/>
    <x v="0"/>
    <n v="94"/>
    <n v="1"/>
    <x v="4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x v="0"/>
    <x v="3"/>
    <s v="10+ yrs"/>
    <x v="0"/>
    <s v="Dissatisfied"/>
    <n v="225888"/>
  </r>
  <r>
    <n v="55"/>
    <x v="1"/>
    <s v="Non-Travel"/>
    <n v="177"/>
    <x v="1"/>
    <n v="8"/>
    <n v="1"/>
    <s v="Medical"/>
    <n v="1278"/>
    <n v="4"/>
    <x v="1"/>
    <n v="37"/>
    <n v="2"/>
    <x v="3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x v="1"/>
    <x v="3"/>
    <s v="10+ yrs"/>
    <x v="0"/>
    <s v="Dissatisfied"/>
    <n v="162924"/>
  </r>
  <r>
    <n v="21"/>
    <x v="0"/>
    <s v="Travel_Frequently"/>
    <n v="251"/>
    <x v="1"/>
    <n v="10"/>
    <n v="2"/>
    <s v="Life Sciences"/>
    <n v="1279"/>
    <n v="1"/>
    <x v="0"/>
    <n v="45"/>
    <n v="2"/>
    <x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  <x v="3"/>
    <x v="1"/>
    <s v="0-2 yrs"/>
    <x v="1"/>
    <s v="Satisfied"/>
    <n v="31500"/>
  </r>
  <r>
    <n v="46"/>
    <x v="1"/>
    <s v="Travel_Rarely"/>
    <n v="168"/>
    <x v="0"/>
    <n v="4"/>
    <n v="2"/>
    <s v="Marketing"/>
    <n v="1280"/>
    <n v="4"/>
    <x v="0"/>
    <n v="33"/>
    <n v="2"/>
    <x v="4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x v="1"/>
    <x v="3"/>
    <s v="10+ yrs"/>
    <x v="0"/>
    <s v="Dissatisfied"/>
    <n v="225468"/>
  </r>
  <r>
    <n v="34"/>
    <x v="1"/>
    <s v="Travel_Rarely"/>
    <n v="131"/>
    <x v="0"/>
    <n v="2"/>
    <n v="3"/>
    <s v="Marketing"/>
    <n v="1281"/>
    <n v="3"/>
    <x v="0"/>
    <n v="86"/>
    <n v="3"/>
    <x v="0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  <x v="2"/>
    <x v="0"/>
    <s v="3-5 yrs"/>
    <x v="0"/>
    <s v="Very Dissatisfied"/>
    <n v="54456"/>
  </r>
  <r>
    <n v="51"/>
    <x v="1"/>
    <s v="Travel_Frequently"/>
    <n v="237"/>
    <x v="0"/>
    <n v="9"/>
    <n v="3"/>
    <s v="Life Sciences"/>
    <n v="1282"/>
    <n v="4"/>
    <x v="1"/>
    <n v="83"/>
    <n v="3"/>
    <x v="4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x v="1"/>
    <x v="3"/>
    <s v="10+ yrs"/>
    <x v="1"/>
    <s v="Dissatisfied"/>
    <n v="238164"/>
  </r>
  <r>
    <n v="59"/>
    <x v="1"/>
    <s v="Travel_Rarely"/>
    <n v="1429"/>
    <x v="1"/>
    <n v="18"/>
    <n v="4"/>
    <s v="Medical"/>
    <n v="1283"/>
    <n v="4"/>
    <x v="1"/>
    <n v="67"/>
    <n v="3"/>
    <x v="2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  <x v="1"/>
    <x v="3"/>
    <s v="6-10 yrs"/>
    <x v="0"/>
    <s v="Very Satisfied"/>
    <n v="126144"/>
  </r>
  <r>
    <n v="34"/>
    <x v="1"/>
    <s v="Travel_Frequently"/>
    <n v="135"/>
    <x v="1"/>
    <n v="19"/>
    <n v="3"/>
    <s v="Medical"/>
    <n v="1285"/>
    <n v="3"/>
    <x v="0"/>
    <n v="46"/>
    <n v="3"/>
    <x v="0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x v="2"/>
    <x v="0"/>
    <s v="10+ yrs"/>
    <x v="0"/>
    <s v="Dissatisfied"/>
    <n v="53328"/>
  </r>
  <r>
    <n v="28"/>
    <x v="1"/>
    <s v="Travel_Frequently"/>
    <n v="791"/>
    <x v="1"/>
    <n v="1"/>
    <n v="4"/>
    <s v="Medical"/>
    <n v="1286"/>
    <n v="4"/>
    <x v="1"/>
    <n v="44"/>
    <n v="3"/>
    <x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  <x v="2"/>
    <x v="1"/>
    <s v="3-5 yrs"/>
    <x v="0"/>
    <s v="Satisfied"/>
    <n v="25848"/>
  </r>
  <r>
    <n v="44"/>
    <x v="1"/>
    <s v="Travel_Rarely"/>
    <n v="1199"/>
    <x v="1"/>
    <n v="4"/>
    <n v="2"/>
    <s v="Life Sciences"/>
    <n v="1288"/>
    <n v="3"/>
    <x v="1"/>
    <n v="92"/>
    <n v="4"/>
    <x v="4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x v="0"/>
    <x v="3"/>
    <s v="10+ yrs"/>
    <x v="0"/>
    <s v="Very Dissatisfied"/>
    <n v="230280"/>
  </r>
  <r>
    <n v="34"/>
    <x v="1"/>
    <s v="Travel_Frequently"/>
    <n v="648"/>
    <x v="2"/>
    <n v="11"/>
    <n v="3"/>
    <s v="Life Sciences"/>
    <n v="1289"/>
    <n v="3"/>
    <x v="1"/>
    <n v="56"/>
    <n v="2"/>
    <x v="0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x v="2"/>
    <x v="0"/>
    <s v="6-10 yrs"/>
    <x v="0"/>
    <s v="Dissatisfied"/>
    <n v="53880"/>
  </r>
  <r>
    <n v="35"/>
    <x v="1"/>
    <s v="Travel_Rarely"/>
    <n v="735"/>
    <x v="1"/>
    <n v="6"/>
    <n v="1"/>
    <s v="Life Sciences"/>
    <n v="1291"/>
    <n v="3"/>
    <x v="1"/>
    <n v="66"/>
    <n v="3"/>
    <x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  <x v="2"/>
    <x v="0"/>
    <s v="3-5 yrs"/>
    <x v="0"/>
    <s v="Satisfied"/>
    <n v="42072"/>
  </r>
  <r>
    <n v="42"/>
    <x v="1"/>
    <s v="Travel_Rarely"/>
    <n v="603"/>
    <x v="1"/>
    <n v="7"/>
    <n v="4"/>
    <s v="Medical"/>
    <n v="1292"/>
    <n v="2"/>
    <x v="0"/>
    <n v="78"/>
    <n v="4"/>
    <x v="0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  <x v="0"/>
    <x v="1"/>
    <s v="0-2 yrs"/>
    <x v="0"/>
    <s v="Dissatisfied"/>
    <n v="28464"/>
  </r>
  <r>
    <n v="43"/>
    <x v="1"/>
    <s v="Travel_Rarely"/>
    <n v="531"/>
    <x v="0"/>
    <n v="4"/>
    <n v="4"/>
    <s v="Marketing"/>
    <n v="1293"/>
    <n v="4"/>
    <x v="0"/>
    <n v="56"/>
    <n v="2"/>
    <x v="2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x v="0"/>
    <x v="3"/>
    <s v="10+ yrs"/>
    <x v="0"/>
    <s v="Very Satisfied"/>
    <n v="122772"/>
  </r>
  <r>
    <n v="36"/>
    <x v="1"/>
    <s v="Travel_Rarely"/>
    <n v="429"/>
    <x v="1"/>
    <n v="2"/>
    <n v="4"/>
    <s v="Life Sciences"/>
    <n v="1294"/>
    <n v="3"/>
    <x v="0"/>
    <n v="53"/>
    <n v="3"/>
    <x v="0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x v="0"/>
    <x v="0"/>
    <s v="10+ yrs"/>
    <x v="0"/>
    <s v="Dissatisfied"/>
    <n v="64920"/>
  </r>
  <r>
    <n v="44"/>
    <x v="0"/>
    <s v="Travel_Rarely"/>
    <n v="621"/>
    <x v="1"/>
    <n v="15"/>
    <n v="3"/>
    <s v="Medical"/>
    <n v="1295"/>
    <n v="1"/>
    <x v="0"/>
    <n v="73"/>
    <n v="3"/>
    <x v="2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x v="0"/>
    <x v="2"/>
    <s v="6-10 yrs"/>
    <x v="0"/>
    <s v="Very Satisfied"/>
    <n v="95736"/>
  </r>
  <r>
    <n v="28"/>
    <x v="1"/>
    <s v="Travel_Frequently"/>
    <n v="193"/>
    <x v="1"/>
    <n v="2"/>
    <n v="3"/>
    <s v="Life Sciences"/>
    <n v="1296"/>
    <n v="4"/>
    <x v="1"/>
    <n v="52"/>
    <n v="2"/>
    <x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  <x v="2"/>
    <x v="0"/>
    <s v="0-2 yrs"/>
    <x v="0"/>
    <s v="Very Satisfied"/>
    <n v="46404"/>
  </r>
  <r>
    <n v="51"/>
    <x v="1"/>
    <s v="Travel_Frequently"/>
    <n v="968"/>
    <x v="1"/>
    <n v="6"/>
    <n v="2"/>
    <s v="Medical"/>
    <n v="1297"/>
    <n v="2"/>
    <x v="0"/>
    <n v="40"/>
    <n v="2"/>
    <x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  <x v="1"/>
    <x v="1"/>
    <s v="6-10 yrs"/>
    <x v="0"/>
    <s v="Satisfied"/>
    <n v="34056"/>
  </r>
  <r>
    <n v="30"/>
    <x v="1"/>
    <s v="Non-Travel"/>
    <n v="879"/>
    <x v="1"/>
    <n v="9"/>
    <n v="2"/>
    <s v="Medical"/>
    <n v="1298"/>
    <n v="3"/>
    <x v="0"/>
    <n v="72"/>
    <n v="3"/>
    <x v="0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  <x v="2"/>
    <x v="0"/>
    <s v="6-10 yrs"/>
    <x v="0"/>
    <s v="Satisfied"/>
    <n v="56340"/>
  </r>
  <r>
    <n v="29"/>
    <x v="0"/>
    <s v="Travel_Rarely"/>
    <n v="806"/>
    <x v="1"/>
    <n v="7"/>
    <n v="3"/>
    <s v="Technical Degree"/>
    <n v="1299"/>
    <n v="2"/>
    <x v="0"/>
    <n v="39"/>
    <n v="3"/>
    <x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x v="2"/>
    <x v="0"/>
    <s v="6-10 yrs"/>
    <x v="0"/>
    <s v="Satisfied"/>
    <n v="40068"/>
  </r>
  <r>
    <n v="28"/>
    <x v="1"/>
    <s v="Travel_Rarely"/>
    <n v="640"/>
    <x v="1"/>
    <n v="1"/>
    <n v="3"/>
    <s v="Technical Degree"/>
    <n v="1301"/>
    <n v="4"/>
    <x v="1"/>
    <n v="84"/>
    <n v="3"/>
    <x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  <x v="2"/>
    <x v="1"/>
    <s v="3-5 yrs"/>
    <x v="0"/>
    <s v="Very Dissatisfied"/>
    <n v="24960"/>
  </r>
  <r>
    <n v="25"/>
    <x v="1"/>
    <s v="Travel_Rarely"/>
    <n v="266"/>
    <x v="1"/>
    <n v="1"/>
    <n v="3"/>
    <s v="Medical"/>
    <n v="1303"/>
    <n v="4"/>
    <x v="0"/>
    <n v="40"/>
    <n v="3"/>
    <x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  <x v="3"/>
    <x v="1"/>
    <s v="0-2 yrs"/>
    <x v="0"/>
    <s v="Dissatisfied"/>
    <n v="25152"/>
  </r>
  <r>
    <n v="32"/>
    <x v="1"/>
    <s v="Travel_Rarely"/>
    <n v="604"/>
    <x v="0"/>
    <n v="8"/>
    <n v="3"/>
    <s v="Medical"/>
    <n v="1304"/>
    <n v="3"/>
    <x v="1"/>
    <n v="56"/>
    <n v="4"/>
    <x v="0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x v="2"/>
    <x v="2"/>
    <s v="6-10 yrs"/>
    <x v="0"/>
    <s v="Very Satisfied"/>
    <n v="74508"/>
  </r>
  <r>
    <n v="45"/>
    <x v="1"/>
    <s v="Travel_Frequently"/>
    <n v="364"/>
    <x v="1"/>
    <n v="25"/>
    <n v="3"/>
    <s v="Medical"/>
    <n v="1306"/>
    <n v="2"/>
    <x v="0"/>
    <n v="83"/>
    <n v="3"/>
    <x v="4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  <x v="0"/>
    <x v="3"/>
    <s v="0-2 yrs"/>
    <x v="1"/>
    <s v="Dissatisfied"/>
    <n v="216732"/>
  </r>
  <r>
    <n v="39"/>
    <x v="1"/>
    <s v="Travel_Rarely"/>
    <n v="412"/>
    <x v="1"/>
    <n v="13"/>
    <n v="4"/>
    <s v="Medical"/>
    <n v="1307"/>
    <n v="3"/>
    <x v="0"/>
    <n v="94"/>
    <n v="2"/>
    <x v="3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x v="0"/>
    <x v="3"/>
    <s v="10+ yrs"/>
    <x v="0"/>
    <s v="Dissatisfied"/>
    <n v="205476"/>
  </r>
  <r>
    <n v="58"/>
    <x v="1"/>
    <s v="Travel_Rarely"/>
    <n v="848"/>
    <x v="1"/>
    <n v="23"/>
    <n v="4"/>
    <s v="Life Sciences"/>
    <n v="1308"/>
    <n v="1"/>
    <x v="1"/>
    <n v="88"/>
    <n v="3"/>
    <x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  <x v="1"/>
    <x v="1"/>
    <s v="0-2 yrs"/>
    <x v="0"/>
    <s v="Satisfied"/>
    <n v="28464"/>
  </r>
  <r>
    <n v="32"/>
    <x v="0"/>
    <s v="Travel_Rarely"/>
    <n v="1089"/>
    <x v="1"/>
    <n v="7"/>
    <n v="2"/>
    <s v="Life Sciences"/>
    <n v="1309"/>
    <n v="4"/>
    <x v="1"/>
    <n v="79"/>
    <n v="3"/>
    <x v="0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x v="2"/>
    <x v="0"/>
    <s v="6-10 yrs"/>
    <x v="0"/>
    <s v="Satisfied"/>
    <n v="58596"/>
  </r>
  <r>
    <n v="39"/>
    <x v="0"/>
    <s v="Travel_Rarely"/>
    <n v="360"/>
    <x v="1"/>
    <n v="23"/>
    <n v="3"/>
    <s v="Medical"/>
    <n v="1310"/>
    <n v="3"/>
    <x v="1"/>
    <n v="93"/>
    <n v="3"/>
    <x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  <x v="0"/>
    <x v="0"/>
    <s v="3-5 yrs"/>
    <x v="0"/>
    <s v="Very Dissatisfied"/>
    <n v="46848"/>
  </r>
  <r>
    <n v="30"/>
    <x v="1"/>
    <s v="Travel_Rarely"/>
    <n v="1138"/>
    <x v="1"/>
    <n v="6"/>
    <n v="3"/>
    <s v="Technical Degree"/>
    <n v="1311"/>
    <n v="1"/>
    <x v="0"/>
    <n v="48"/>
    <n v="2"/>
    <x v="0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  <x v="2"/>
    <x v="0"/>
    <s v="6-10 yrs"/>
    <x v="0"/>
    <s v="Very Satisfied"/>
    <n v="55524"/>
  </r>
  <r>
    <n v="36"/>
    <x v="1"/>
    <s v="Travel_Rarely"/>
    <n v="325"/>
    <x v="1"/>
    <n v="10"/>
    <n v="4"/>
    <s v="Technical Degree"/>
    <n v="1312"/>
    <n v="4"/>
    <x v="0"/>
    <n v="63"/>
    <n v="3"/>
    <x v="2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  <x v="0"/>
    <x v="2"/>
    <s v="6-10 yrs"/>
    <x v="0"/>
    <s v="Satisfied"/>
    <n v="85128"/>
  </r>
  <r>
    <n v="46"/>
    <x v="1"/>
    <s v="Travel_Rarely"/>
    <n v="991"/>
    <x v="2"/>
    <n v="1"/>
    <n v="2"/>
    <s v="Life Sciences"/>
    <n v="1314"/>
    <n v="4"/>
    <x v="0"/>
    <n v="44"/>
    <n v="3"/>
    <x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  <x v="1"/>
    <x v="0"/>
    <s v="6-10 yrs"/>
    <x v="0"/>
    <s v="Very Dissatisfied"/>
    <n v="41076"/>
  </r>
  <r>
    <n v="28"/>
    <x v="1"/>
    <s v="Non-Travel"/>
    <n v="1476"/>
    <x v="1"/>
    <n v="1"/>
    <n v="3"/>
    <s v="Life Sciences"/>
    <n v="1315"/>
    <n v="3"/>
    <x v="0"/>
    <n v="55"/>
    <n v="1"/>
    <x v="0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  <x v="2"/>
    <x v="2"/>
    <s v="6-10 yrs"/>
    <x v="0"/>
    <s v="Very Satisfied"/>
    <n v="80088"/>
  </r>
  <r>
    <n v="50"/>
    <x v="1"/>
    <s v="Travel_Rarely"/>
    <n v="1322"/>
    <x v="1"/>
    <n v="28"/>
    <n v="3"/>
    <s v="Life Sciences"/>
    <n v="1317"/>
    <n v="4"/>
    <x v="0"/>
    <n v="43"/>
    <n v="3"/>
    <x v="3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x v="1"/>
    <x v="3"/>
    <s v="3-5 yrs"/>
    <x v="0"/>
    <s v="Very Dissatisfied"/>
    <n v="202560"/>
  </r>
  <r>
    <n v="40"/>
    <x v="0"/>
    <s v="Travel_Rarely"/>
    <n v="299"/>
    <x v="0"/>
    <n v="25"/>
    <n v="4"/>
    <s v="Marketing"/>
    <n v="1318"/>
    <n v="4"/>
    <x v="1"/>
    <n v="57"/>
    <n v="2"/>
    <x v="2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  <x v="0"/>
    <x v="2"/>
    <s v="3-5 yrs"/>
    <x v="0"/>
    <s v="Dissatisfied"/>
    <n v="109128"/>
  </r>
  <r>
    <n v="52"/>
    <x v="0"/>
    <s v="Travel_Rarely"/>
    <n v="1030"/>
    <x v="0"/>
    <n v="5"/>
    <n v="3"/>
    <s v="Life Sciences"/>
    <n v="1319"/>
    <n v="2"/>
    <x v="1"/>
    <n v="64"/>
    <n v="3"/>
    <x v="2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  <x v="1"/>
    <x v="2"/>
    <s v="6-10 yrs"/>
    <x v="0"/>
    <s v="Dissatisfied"/>
    <n v="101352"/>
  </r>
  <r>
    <n v="30"/>
    <x v="1"/>
    <s v="Travel_Rarely"/>
    <n v="634"/>
    <x v="1"/>
    <n v="17"/>
    <n v="4"/>
    <s v="Medical"/>
    <n v="1321"/>
    <n v="2"/>
    <x v="0"/>
    <n v="95"/>
    <n v="3"/>
    <x v="2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  <x v="2"/>
    <x v="3"/>
    <s v="6-10 yrs"/>
    <x v="1"/>
    <s v="Very Dissatisfied"/>
    <n v="142992"/>
  </r>
  <r>
    <n v="39"/>
    <x v="1"/>
    <s v="Travel_Rarely"/>
    <n v="524"/>
    <x v="1"/>
    <n v="18"/>
    <n v="2"/>
    <s v="Life Sciences"/>
    <n v="1322"/>
    <n v="1"/>
    <x v="1"/>
    <n v="32"/>
    <n v="3"/>
    <x v="0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  <x v="0"/>
    <x v="0"/>
    <s v="6-10 yrs"/>
    <x v="0"/>
    <s v="Satisfied"/>
    <n v="54408"/>
  </r>
  <r>
    <n v="31"/>
    <x v="1"/>
    <s v="Non-Travel"/>
    <n v="587"/>
    <x v="0"/>
    <n v="2"/>
    <n v="4"/>
    <s v="Life Sciences"/>
    <n v="1324"/>
    <n v="4"/>
    <x v="0"/>
    <n v="57"/>
    <n v="3"/>
    <x v="2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x v="2"/>
    <x v="2"/>
    <s v="6-10 yrs"/>
    <x v="0"/>
    <s v="Satisfied"/>
    <n v="118224"/>
  </r>
  <r>
    <n v="41"/>
    <x v="1"/>
    <s v="Non-Travel"/>
    <n v="256"/>
    <x v="0"/>
    <n v="10"/>
    <n v="2"/>
    <s v="Medical"/>
    <n v="1329"/>
    <n v="3"/>
    <x v="1"/>
    <n v="40"/>
    <n v="1"/>
    <x v="0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x v="0"/>
    <x v="2"/>
    <s v="10+ yrs"/>
    <x v="0"/>
    <s v="Dissatisfied"/>
    <n v="73812"/>
  </r>
  <r>
    <n v="31"/>
    <x v="0"/>
    <s v="Travel_Frequently"/>
    <n v="1060"/>
    <x v="0"/>
    <n v="1"/>
    <n v="3"/>
    <s v="Life Sciences"/>
    <n v="1331"/>
    <n v="4"/>
    <x v="0"/>
    <n v="54"/>
    <n v="3"/>
    <x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  <x v="2"/>
    <x v="1"/>
    <s v="3-5 yrs"/>
    <x v="0"/>
    <s v="Dissatisfied"/>
    <n v="27624"/>
  </r>
  <r>
    <n v="44"/>
    <x v="0"/>
    <s v="Travel_Rarely"/>
    <n v="935"/>
    <x v="1"/>
    <n v="3"/>
    <n v="3"/>
    <s v="Life Sciences"/>
    <n v="1333"/>
    <n v="1"/>
    <x v="1"/>
    <n v="89"/>
    <n v="3"/>
    <x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  <x v="0"/>
    <x v="1"/>
    <s v="3-5 yrs"/>
    <x v="0"/>
    <s v="Very Dissatisfied"/>
    <n v="28344"/>
  </r>
  <r>
    <n v="42"/>
    <x v="1"/>
    <s v="Non-Travel"/>
    <n v="495"/>
    <x v="1"/>
    <n v="2"/>
    <n v="1"/>
    <s v="Life Sciences"/>
    <n v="1334"/>
    <n v="3"/>
    <x v="1"/>
    <n v="37"/>
    <n v="3"/>
    <x v="3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x v="0"/>
    <x v="3"/>
    <s v="10+ yrs"/>
    <x v="0"/>
    <s v="Satisfied"/>
    <n v="214332"/>
  </r>
  <r>
    <n v="55"/>
    <x v="1"/>
    <s v="Travel_Rarely"/>
    <n v="282"/>
    <x v="1"/>
    <n v="2"/>
    <n v="2"/>
    <s v="Medical"/>
    <n v="1336"/>
    <n v="4"/>
    <x v="0"/>
    <n v="58"/>
    <n v="1"/>
    <x v="4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x v="1"/>
    <x v="3"/>
    <s v="10+ yrs"/>
    <x v="0"/>
    <s v="Satisfied"/>
    <n v="230244"/>
  </r>
  <r>
    <n v="56"/>
    <x v="1"/>
    <s v="Travel_Rarely"/>
    <n v="206"/>
    <x v="2"/>
    <n v="8"/>
    <n v="4"/>
    <s v="Life Sciences"/>
    <n v="1338"/>
    <n v="4"/>
    <x v="1"/>
    <n v="99"/>
    <n v="3"/>
    <x v="4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  <x v="1"/>
    <x v="3"/>
    <s v="6-10 yrs"/>
    <x v="0"/>
    <s v="Dissatisfied"/>
    <n v="236604"/>
  </r>
  <r>
    <n v="40"/>
    <x v="1"/>
    <s v="Non-Travel"/>
    <n v="458"/>
    <x v="1"/>
    <n v="16"/>
    <n v="2"/>
    <s v="Life Sciences"/>
    <n v="1340"/>
    <n v="3"/>
    <x v="1"/>
    <n v="74"/>
    <n v="3"/>
    <x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  <x v="0"/>
    <x v="0"/>
    <s v="3-5 yrs"/>
    <x v="0"/>
    <s v="Satisfied"/>
    <n v="42528"/>
  </r>
  <r>
    <n v="34"/>
    <x v="1"/>
    <s v="Travel_Rarely"/>
    <n v="943"/>
    <x v="1"/>
    <n v="9"/>
    <n v="3"/>
    <s v="Life Sciences"/>
    <n v="1344"/>
    <n v="4"/>
    <x v="1"/>
    <n v="86"/>
    <n v="3"/>
    <x v="2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  <x v="2"/>
    <x v="2"/>
    <s v="6-10 yrs"/>
    <x v="0"/>
    <s v="Very Satisfied"/>
    <n v="102000"/>
  </r>
  <r>
    <n v="40"/>
    <x v="1"/>
    <s v="Travel_Rarely"/>
    <n v="523"/>
    <x v="1"/>
    <n v="2"/>
    <n v="3"/>
    <s v="Life Sciences"/>
    <n v="1346"/>
    <n v="3"/>
    <x v="1"/>
    <n v="98"/>
    <n v="3"/>
    <x v="0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  <x v="0"/>
    <x v="0"/>
    <s v="6-10 yrs"/>
    <x v="0"/>
    <s v="Very Satisfied"/>
    <n v="55932"/>
  </r>
  <r>
    <n v="41"/>
    <x v="1"/>
    <s v="Travel_Frequently"/>
    <n v="1018"/>
    <x v="0"/>
    <n v="1"/>
    <n v="3"/>
    <s v="Marketing"/>
    <n v="1349"/>
    <n v="3"/>
    <x v="0"/>
    <n v="66"/>
    <n v="3"/>
    <x v="0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  <x v="0"/>
    <x v="0"/>
    <s v="6-10 yrs"/>
    <x v="0"/>
    <s v="Very Dissatisfied"/>
    <n v="49236"/>
  </r>
  <r>
    <n v="35"/>
    <x v="1"/>
    <s v="Travel_Frequently"/>
    <n v="482"/>
    <x v="1"/>
    <n v="4"/>
    <n v="4"/>
    <s v="Life Sciences"/>
    <n v="1350"/>
    <n v="3"/>
    <x v="1"/>
    <n v="87"/>
    <n v="3"/>
    <x v="0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  <x v="2"/>
    <x v="0"/>
    <s v="6-10 yrs"/>
    <x v="0"/>
    <s v="Satisfied"/>
    <n v="50988"/>
  </r>
  <r>
    <n v="51"/>
    <x v="1"/>
    <s v="Travel_Rarely"/>
    <n v="770"/>
    <x v="2"/>
    <n v="5"/>
    <n v="3"/>
    <s v="Life Sciences"/>
    <n v="1352"/>
    <n v="3"/>
    <x v="1"/>
    <n v="84"/>
    <n v="3"/>
    <x v="3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x v="1"/>
    <x v="3"/>
    <s v="10+ yrs"/>
    <x v="0"/>
    <s v="Dissatisfied"/>
    <n v="168312"/>
  </r>
  <r>
    <n v="38"/>
    <x v="1"/>
    <s v="Travel_Rarely"/>
    <n v="1009"/>
    <x v="0"/>
    <n v="2"/>
    <n v="2"/>
    <s v="Life Sciences"/>
    <n v="1355"/>
    <n v="2"/>
    <x v="0"/>
    <n v="31"/>
    <n v="3"/>
    <x v="0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x v="0"/>
    <x v="2"/>
    <s v="6-10 yrs"/>
    <x v="0"/>
    <s v="Very Dissatisfied"/>
    <n v="82716"/>
  </r>
  <r>
    <n v="34"/>
    <x v="1"/>
    <s v="Travel_Rarely"/>
    <n v="507"/>
    <x v="0"/>
    <n v="15"/>
    <n v="2"/>
    <s v="Medical"/>
    <n v="1356"/>
    <n v="3"/>
    <x v="0"/>
    <n v="66"/>
    <n v="3"/>
    <x v="0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  <x v="2"/>
    <x v="2"/>
    <s v="6-10 yrs"/>
    <x v="0"/>
    <s v="Very Dissatisfied"/>
    <n v="73500"/>
  </r>
  <r>
    <n v="25"/>
    <x v="1"/>
    <s v="Travel_Rarely"/>
    <n v="882"/>
    <x v="1"/>
    <n v="19"/>
    <n v="1"/>
    <s v="Medical"/>
    <n v="1358"/>
    <n v="4"/>
    <x v="1"/>
    <n v="67"/>
    <n v="3"/>
    <x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  <x v="3"/>
    <x v="0"/>
    <s v="3-5 yrs"/>
    <x v="0"/>
    <s v="Very Satisfied"/>
    <n v="44028"/>
  </r>
  <r>
    <n v="58"/>
    <x v="0"/>
    <s v="Travel_Rarely"/>
    <n v="601"/>
    <x v="1"/>
    <n v="7"/>
    <n v="4"/>
    <s v="Medical"/>
    <n v="1360"/>
    <n v="3"/>
    <x v="0"/>
    <n v="53"/>
    <n v="2"/>
    <x v="2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x v="1"/>
    <x v="3"/>
    <s v="6-10 yrs"/>
    <x v="0"/>
    <s v="Very Dissatisfied"/>
    <n v="120096"/>
  </r>
  <r>
    <n v="40"/>
    <x v="1"/>
    <s v="Travel_Rarely"/>
    <n v="329"/>
    <x v="1"/>
    <n v="1"/>
    <n v="4"/>
    <s v="Life Sciences"/>
    <n v="1361"/>
    <n v="2"/>
    <x v="1"/>
    <n v="88"/>
    <n v="3"/>
    <x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  <x v="0"/>
    <x v="1"/>
    <s v="3-5 yrs"/>
    <x v="1"/>
    <s v="Dissatisfied"/>
    <n v="28644"/>
  </r>
  <r>
    <n v="36"/>
    <x v="1"/>
    <s v="Travel_Frequently"/>
    <n v="607"/>
    <x v="0"/>
    <n v="7"/>
    <n v="3"/>
    <s v="Marketing"/>
    <n v="1362"/>
    <n v="1"/>
    <x v="0"/>
    <n v="83"/>
    <n v="4"/>
    <x v="0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x v="0"/>
    <x v="0"/>
    <s v="10+ yrs"/>
    <x v="0"/>
    <s v="Very Dissatisfied"/>
    <n v="55668"/>
  </r>
  <r>
    <n v="48"/>
    <x v="1"/>
    <s v="Travel_Rarely"/>
    <n v="855"/>
    <x v="1"/>
    <n v="4"/>
    <n v="3"/>
    <s v="Life Sciences"/>
    <n v="1363"/>
    <n v="4"/>
    <x v="1"/>
    <n v="54"/>
    <n v="3"/>
    <x v="2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  <x v="1"/>
    <x v="2"/>
    <s v="6-10 yrs"/>
    <x v="0"/>
    <s v="Very Satisfied"/>
    <n v="94776"/>
  </r>
  <r>
    <n v="27"/>
    <x v="1"/>
    <s v="Travel_Rarely"/>
    <n v="1291"/>
    <x v="0"/>
    <n v="11"/>
    <n v="3"/>
    <s v="Medical"/>
    <n v="1364"/>
    <n v="3"/>
    <x v="0"/>
    <n v="98"/>
    <n v="4"/>
    <x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  <x v="2"/>
    <x v="1"/>
    <s v="0-2 yrs"/>
    <x v="0"/>
    <s v="Very Satisfied"/>
    <n v="30408"/>
  </r>
  <r>
    <n v="51"/>
    <x v="1"/>
    <s v="Travel_Rarely"/>
    <n v="1405"/>
    <x v="1"/>
    <n v="11"/>
    <n v="2"/>
    <s v="Technical Degree"/>
    <n v="1367"/>
    <n v="4"/>
    <x v="0"/>
    <n v="82"/>
    <n v="2"/>
    <x v="3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  <x v="1"/>
    <x v="3"/>
    <s v="3-5 yrs"/>
    <x v="0"/>
    <s v="Dissatisfied"/>
    <n v="157704"/>
  </r>
  <r>
    <n v="18"/>
    <x v="1"/>
    <s v="Non-Travel"/>
    <n v="1124"/>
    <x v="1"/>
    <n v="1"/>
    <n v="3"/>
    <s v="Life Sciences"/>
    <n v="1368"/>
    <n v="4"/>
    <x v="0"/>
    <n v="97"/>
    <n v="3"/>
    <x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  <x v="3"/>
    <x v="1"/>
    <s v="0-2 yrs"/>
    <x v="0"/>
    <s v="Very Satisfied"/>
    <n v="19332"/>
  </r>
  <r>
    <n v="35"/>
    <x v="1"/>
    <s v="Travel_Rarely"/>
    <n v="817"/>
    <x v="1"/>
    <n v="1"/>
    <n v="3"/>
    <s v="Medical"/>
    <n v="1369"/>
    <n v="4"/>
    <x v="0"/>
    <n v="60"/>
    <n v="2"/>
    <x v="0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  <x v="2"/>
    <x v="0"/>
    <s v="6-10 yrs"/>
    <x v="0"/>
    <s v="Very Satisfied"/>
    <n v="64356"/>
  </r>
  <r>
    <n v="27"/>
    <x v="1"/>
    <s v="Travel_Frequently"/>
    <n v="793"/>
    <x v="0"/>
    <n v="2"/>
    <n v="1"/>
    <s v="Life Sciences"/>
    <n v="1371"/>
    <n v="4"/>
    <x v="1"/>
    <n v="43"/>
    <n v="1"/>
    <x v="0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  <x v="2"/>
    <x v="0"/>
    <s v="6-10 yrs"/>
    <x v="1"/>
    <s v="Very Satisfied"/>
    <n v="60852"/>
  </r>
  <r>
    <n v="55"/>
    <x v="0"/>
    <s v="Travel_Rarely"/>
    <n v="267"/>
    <x v="0"/>
    <n v="13"/>
    <n v="4"/>
    <s v="Marketing"/>
    <n v="1372"/>
    <n v="1"/>
    <x v="1"/>
    <n v="85"/>
    <n v="4"/>
    <x v="3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  <x v="1"/>
    <x v="3"/>
    <s v="10+ yrs"/>
    <x v="0"/>
    <s v="Satisfied"/>
    <n v="164340"/>
  </r>
  <r>
    <n v="56"/>
    <x v="1"/>
    <s v="Travel_Rarely"/>
    <n v="1369"/>
    <x v="1"/>
    <n v="23"/>
    <n v="3"/>
    <s v="Life Sciences"/>
    <n v="1373"/>
    <n v="4"/>
    <x v="1"/>
    <n v="68"/>
    <n v="3"/>
    <x v="3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x v="1"/>
    <x v="3"/>
    <s v="10+ yrs"/>
    <x v="0"/>
    <s v="Dissatisfied"/>
    <n v="160824"/>
  </r>
  <r>
    <n v="34"/>
    <x v="1"/>
    <s v="Non-Travel"/>
    <n v="999"/>
    <x v="1"/>
    <n v="26"/>
    <n v="1"/>
    <s v="Technical Degree"/>
    <n v="1374"/>
    <n v="1"/>
    <x v="0"/>
    <n v="92"/>
    <n v="2"/>
    <x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  <x v="2"/>
    <x v="1"/>
    <s v="3-5 yrs"/>
    <x v="1"/>
    <s v="Satisfied"/>
    <n v="24348"/>
  </r>
  <r>
    <n v="40"/>
    <x v="1"/>
    <s v="Travel_Rarely"/>
    <n v="1202"/>
    <x v="1"/>
    <n v="2"/>
    <n v="1"/>
    <s v="Medical"/>
    <n v="1375"/>
    <n v="2"/>
    <x v="0"/>
    <n v="89"/>
    <n v="4"/>
    <x v="0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x v="0"/>
    <x v="2"/>
    <s v="10+ yrs"/>
    <x v="1"/>
    <s v="Satisfied"/>
    <n v="76524"/>
  </r>
  <r>
    <n v="34"/>
    <x v="1"/>
    <s v="Travel_Rarely"/>
    <n v="285"/>
    <x v="1"/>
    <n v="29"/>
    <n v="3"/>
    <s v="Medical"/>
    <n v="1377"/>
    <n v="2"/>
    <x v="1"/>
    <n v="86"/>
    <n v="3"/>
    <x v="0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  <x v="2"/>
    <x v="0"/>
    <s v="6-10 yrs"/>
    <x v="0"/>
    <s v="Satisfied"/>
    <n v="65148"/>
  </r>
  <r>
    <n v="31"/>
    <x v="0"/>
    <s v="Travel_Frequently"/>
    <n v="703"/>
    <x v="0"/>
    <n v="2"/>
    <n v="3"/>
    <s v="Life Sciences"/>
    <n v="1379"/>
    <n v="3"/>
    <x v="0"/>
    <n v="90"/>
    <n v="2"/>
    <x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  <x v="2"/>
    <x v="1"/>
    <s v="0-2 yrs"/>
    <x v="0"/>
    <s v="Very Satisfied"/>
    <n v="33420"/>
  </r>
  <r>
    <n v="35"/>
    <x v="0"/>
    <s v="Travel_Frequently"/>
    <n v="662"/>
    <x v="0"/>
    <n v="18"/>
    <n v="4"/>
    <s v="Marketing"/>
    <n v="1380"/>
    <n v="4"/>
    <x v="0"/>
    <n v="67"/>
    <n v="3"/>
    <x v="0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  <x v="2"/>
    <x v="0"/>
    <s v="3-5 yrs"/>
    <x v="0"/>
    <s v="Satisfied"/>
    <n v="55368"/>
  </r>
  <r>
    <n v="38"/>
    <x v="1"/>
    <s v="Travel_Frequently"/>
    <n v="693"/>
    <x v="1"/>
    <n v="7"/>
    <n v="3"/>
    <s v="Life Sciences"/>
    <n v="1382"/>
    <n v="4"/>
    <x v="1"/>
    <n v="57"/>
    <n v="4"/>
    <x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  <x v="0"/>
    <x v="1"/>
    <s v="3-5 yrs"/>
    <x v="0"/>
    <s v="Satisfied"/>
    <n v="31320"/>
  </r>
  <r>
    <n v="34"/>
    <x v="1"/>
    <s v="Travel_Rarely"/>
    <n v="404"/>
    <x v="1"/>
    <n v="2"/>
    <n v="4"/>
    <s v="Technical Degree"/>
    <n v="1383"/>
    <n v="3"/>
    <x v="0"/>
    <n v="98"/>
    <n v="3"/>
    <x v="0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x v="2"/>
    <x v="2"/>
    <s v="10+ yrs"/>
    <x v="0"/>
    <s v="Very Satisfied"/>
    <n v="80244"/>
  </r>
  <r>
    <n v="28"/>
    <x v="1"/>
    <s v="Travel_Rarely"/>
    <n v="736"/>
    <x v="0"/>
    <n v="26"/>
    <n v="3"/>
    <s v="Life Sciences"/>
    <n v="1387"/>
    <n v="3"/>
    <x v="1"/>
    <n v="48"/>
    <n v="2"/>
    <x v="0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  <x v="2"/>
    <x v="0"/>
    <s v="3-5 yrs"/>
    <x v="0"/>
    <s v="Very Dissatisfied"/>
    <n v="56688"/>
  </r>
  <r>
    <n v="31"/>
    <x v="0"/>
    <s v="Travel_Rarely"/>
    <n v="330"/>
    <x v="1"/>
    <n v="22"/>
    <n v="4"/>
    <s v="Medical"/>
    <n v="1389"/>
    <n v="4"/>
    <x v="1"/>
    <n v="98"/>
    <n v="3"/>
    <x v="0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x v="2"/>
    <x v="2"/>
    <s v="6-10 yrs"/>
    <x v="0"/>
    <s v="Satisfied"/>
    <n v="74148"/>
  </r>
  <r>
    <n v="39"/>
    <x v="1"/>
    <s v="Travel_Rarely"/>
    <n v="1498"/>
    <x v="0"/>
    <n v="21"/>
    <n v="4"/>
    <s v="Life Sciences"/>
    <n v="1390"/>
    <n v="1"/>
    <x v="1"/>
    <n v="44"/>
    <n v="2"/>
    <x v="0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  <x v="0"/>
    <x v="2"/>
    <s v="3-5 yrs"/>
    <x v="0"/>
    <s v="Very Satisfied"/>
    <n v="73440"/>
  </r>
  <r>
    <n v="51"/>
    <x v="1"/>
    <s v="Travel_Frequently"/>
    <n v="541"/>
    <x v="0"/>
    <n v="2"/>
    <n v="3"/>
    <s v="Marketing"/>
    <n v="1391"/>
    <n v="2"/>
    <x v="1"/>
    <n v="52"/>
    <n v="3"/>
    <x v="2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x v="1"/>
    <x v="3"/>
    <s v="3-5 yrs"/>
    <x v="0"/>
    <s v="Dissatisfied"/>
    <n v="127152"/>
  </r>
  <r>
    <n v="41"/>
    <x v="1"/>
    <s v="Travel_Frequently"/>
    <n v="1200"/>
    <x v="1"/>
    <n v="22"/>
    <n v="3"/>
    <s v="Life Sciences"/>
    <n v="1392"/>
    <n v="4"/>
    <x v="0"/>
    <n v="75"/>
    <n v="3"/>
    <x v="0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x v="0"/>
    <x v="0"/>
    <s v="6-10 yrs"/>
    <x v="0"/>
    <s v="Very Satisfied"/>
    <n v="65604"/>
  </r>
  <r>
    <n v="37"/>
    <x v="1"/>
    <s v="Travel_Rarely"/>
    <n v="1439"/>
    <x v="1"/>
    <n v="4"/>
    <n v="1"/>
    <s v="Life Sciences"/>
    <n v="1394"/>
    <n v="3"/>
    <x v="1"/>
    <n v="54"/>
    <n v="3"/>
    <x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  <x v="0"/>
    <x v="1"/>
    <s v="6-10 yrs"/>
    <x v="0"/>
    <s v="Satisfied"/>
    <n v="35952"/>
  </r>
  <r>
    <n v="33"/>
    <x v="1"/>
    <s v="Travel_Frequently"/>
    <n v="1111"/>
    <x v="0"/>
    <n v="5"/>
    <n v="1"/>
    <s v="Life Sciences"/>
    <n v="1395"/>
    <n v="2"/>
    <x v="1"/>
    <n v="61"/>
    <n v="3"/>
    <x v="0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  <x v="2"/>
    <x v="2"/>
    <s v="3-5 yrs"/>
    <x v="0"/>
    <s v="Very Satisfied"/>
    <n v="119976"/>
  </r>
  <r>
    <n v="32"/>
    <x v="1"/>
    <s v="Travel_Rarely"/>
    <n v="499"/>
    <x v="0"/>
    <n v="2"/>
    <n v="1"/>
    <s v="Marketing"/>
    <n v="1396"/>
    <n v="3"/>
    <x v="1"/>
    <n v="36"/>
    <n v="3"/>
    <x v="0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  <x v="2"/>
    <x v="0"/>
    <s v="3-5 yrs"/>
    <x v="0"/>
    <s v="Dissatisfied"/>
    <n v="48936"/>
  </r>
  <r>
    <n v="39"/>
    <x v="1"/>
    <s v="Non-Travel"/>
    <n v="1485"/>
    <x v="1"/>
    <n v="25"/>
    <n v="2"/>
    <s v="Life Sciences"/>
    <n v="1397"/>
    <n v="3"/>
    <x v="1"/>
    <n v="71"/>
    <n v="3"/>
    <x v="2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  <x v="0"/>
    <x v="3"/>
    <s v="6-10 yrs"/>
    <x v="1"/>
    <s v="Satisfied"/>
    <n v="131040"/>
  </r>
  <r>
    <n v="25"/>
    <x v="1"/>
    <s v="Travel_Rarely"/>
    <n v="1372"/>
    <x v="0"/>
    <n v="18"/>
    <n v="1"/>
    <s v="Life Sciences"/>
    <n v="1399"/>
    <n v="1"/>
    <x v="1"/>
    <n v="93"/>
    <n v="4"/>
    <x v="0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  <x v="3"/>
    <x v="2"/>
    <s v="3-5 yrs"/>
    <x v="0"/>
    <s v="Satisfied"/>
    <n v="74784"/>
  </r>
  <r>
    <n v="52"/>
    <x v="1"/>
    <s v="Travel_Frequently"/>
    <n v="322"/>
    <x v="1"/>
    <n v="28"/>
    <n v="2"/>
    <s v="Medical"/>
    <n v="1401"/>
    <n v="4"/>
    <x v="0"/>
    <n v="59"/>
    <n v="4"/>
    <x v="3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  <x v="1"/>
    <x v="3"/>
    <s v="3-5 yrs"/>
    <x v="0"/>
    <s v="Satisfied"/>
    <n v="158964"/>
  </r>
  <r>
    <n v="43"/>
    <x v="1"/>
    <s v="Travel_Rarely"/>
    <n v="930"/>
    <x v="1"/>
    <n v="6"/>
    <n v="3"/>
    <s v="Medical"/>
    <n v="1402"/>
    <n v="1"/>
    <x v="0"/>
    <n v="73"/>
    <n v="2"/>
    <x v="0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  <x v="0"/>
    <x v="0"/>
    <s v="10+ yrs"/>
    <x v="0"/>
    <s v="Satisfied"/>
    <n v="48972"/>
  </r>
  <r>
    <n v="27"/>
    <x v="1"/>
    <s v="Travel_Rarely"/>
    <n v="205"/>
    <x v="0"/>
    <n v="10"/>
    <n v="3"/>
    <s v="Marketing"/>
    <n v="1403"/>
    <n v="4"/>
    <x v="0"/>
    <n v="98"/>
    <n v="2"/>
    <x v="0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  <x v="2"/>
    <x v="0"/>
    <s v="6-10 yrs"/>
    <x v="0"/>
    <s v="Very Satisfied"/>
    <n v="69228"/>
  </r>
  <r>
    <n v="27"/>
    <x v="0"/>
    <s v="Travel_Rarely"/>
    <n v="135"/>
    <x v="1"/>
    <n v="17"/>
    <n v="4"/>
    <s v="Life Sciences"/>
    <n v="1405"/>
    <n v="4"/>
    <x v="0"/>
    <n v="51"/>
    <n v="3"/>
    <x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  <x v="2"/>
    <x v="1"/>
    <s v="6-10 yrs"/>
    <x v="0"/>
    <s v="Satisfied"/>
    <n v="28728"/>
  </r>
  <r>
    <n v="26"/>
    <x v="1"/>
    <s v="Travel_Rarely"/>
    <n v="683"/>
    <x v="1"/>
    <n v="2"/>
    <n v="1"/>
    <s v="Medical"/>
    <n v="1407"/>
    <n v="1"/>
    <x v="1"/>
    <n v="36"/>
    <n v="2"/>
    <x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  <x v="2"/>
    <x v="0"/>
    <s v="3-5 yrs"/>
    <x v="0"/>
    <s v="Very Satisfied"/>
    <n v="46848"/>
  </r>
  <r>
    <n v="42"/>
    <x v="1"/>
    <s v="Travel_Rarely"/>
    <n v="1147"/>
    <x v="2"/>
    <n v="10"/>
    <n v="3"/>
    <s v="Human Resources"/>
    <n v="1408"/>
    <n v="3"/>
    <x v="0"/>
    <n v="31"/>
    <n v="3"/>
    <x v="3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x v="0"/>
    <x v="3"/>
    <s v="10+ yrs"/>
    <x v="0"/>
    <s v="Very Dissatisfied"/>
    <n v="201588"/>
  </r>
  <r>
    <n v="52"/>
    <x v="1"/>
    <s v="Travel_Rarely"/>
    <n v="258"/>
    <x v="1"/>
    <n v="8"/>
    <n v="4"/>
    <s v="Other"/>
    <n v="1409"/>
    <n v="3"/>
    <x v="0"/>
    <n v="54"/>
    <n v="3"/>
    <x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  <x v="1"/>
    <x v="1"/>
    <s v="3-5 yrs"/>
    <x v="0"/>
    <s v="Very Dissatisfied"/>
    <n v="35400"/>
  </r>
  <r>
    <n v="37"/>
    <x v="1"/>
    <s v="Travel_Rarely"/>
    <n v="1462"/>
    <x v="1"/>
    <n v="11"/>
    <n v="3"/>
    <s v="Medical"/>
    <n v="1411"/>
    <n v="1"/>
    <x v="0"/>
    <n v="94"/>
    <n v="3"/>
    <x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  <x v="0"/>
    <x v="0"/>
    <s v="3-5 yrs"/>
    <x v="0"/>
    <s v="Satisfied"/>
    <n v="43548"/>
  </r>
  <r>
    <n v="35"/>
    <x v="1"/>
    <s v="Travel_Frequently"/>
    <n v="200"/>
    <x v="1"/>
    <n v="18"/>
    <n v="2"/>
    <s v="Life Sciences"/>
    <n v="1412"/>
    <n v="3"/>
    <x v="1"/>
    <n v="60"/>
    <n v="3"/>
    <x v="2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  <x v="2"/>
    <x v="2"/>
    <s v="0-2 yrs"/>
    <x v="0"/>
    <s v="Very Satisfied"/>
    <n v="112344"/>
  </r>
  <r>
    <n v="25"/>
    <x v="1"/>
    <s v="Travel_Rarely"/>
    <n v="949"/>
    <x v="1"/>
    <n v="1"/>
    <n v="3"/>
    <s v="Technical Degree"/>
    <n v="1415"/>
    <n v="1"/>
    <x v="1"/>
    <n v="81"/>
    <n v="3"/>
    <x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  <x v="3"/>
    <x v="0"/>
    <s v="3-5 yrs"/>
    <x v="0"/>
    <s v="Very Satisfied"/>
    <n v="38748"/>
  </r>
  <r>
    <n v="26"/>
    <x v="1"/>
    <s v="Travel_Rarely"/>
    <n v="652"/>
    <x v="1"/>
    <n v="7"/>
    <n v="3"/>
    <s v="Other"/>
    <n v="1417"/>
    <n v="3"/>
    <x v="1"/>
    <n v="100"/>
    <n v="4"/>
    <x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  <x v="2"/>
    <x v="0"/>
    <s v="6-10 yrs"/>
    <x v="0"/>
    <s v="Very Dissatisfied"/>
    <n v="42936"/>
  </r>
  <r>
    <n v="29"/>
    <x v="1"/>
    <s v="Travel_Rarely"/>
    <n v="332"/>
    <x v="2"/>
    <n v="17"/>
    <n v="3"/>
    <s v="Other"/>
    <n v="1419"/>
    <n v="2"/>
    <x v="1"/>
    <n v="51"/>
    <n v="2"/>
    <x v="2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  <x v="2"/>
    <x v="2"/>
    <s v="6-10 yrs"/>
    <x v="0"/>
    <s v="Very Dissatisfied"/>
    <n v="95856"/>
  </r>
  <r>
    <n v="49"/>
    <x v="0"/>
    <s v="Travel_Frequently"/>
    <n v="1475"/>
    <x v="1"/>
    <n v="28"/>
    <n v="2"/>
    <s v="Life Sciences"/>
    <n v="1420"/>
    <n v="1"/>
    <x v="1"/>
    <n v="97"/>
    <n v="2"/>
    <x v="0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  <x v="1"/>
    <x v="0"/>
    <s v="3-5 yrs"/>
    <x v="1"/>
    <s v="Very Dissatisfied"/>
    <n v="51408"/>
  </r>
  <r>
    <n v="29"/>
    <x v="0"/>
    <s v="Travel_Frequently"/>
    <n v="337"/>
    <x v="1"/>
    <n v="14"/>
    <n v="1"/>
    <s v="Other"/>
    <n v="1421"/>
    <n v="3"/>
    <x v="0"/>
    <n v="84"/>
    <n v="3"/>
    <x v="2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  <x v="2"/>
    <x v="2"/>
    <s v="6-10 yrs"/>
    <x v="0"/>
    <s v="Very Satisfied"/>
    <n v="90636"/>
  </r>
  <r>
    <n v="54"/>
    <x v="1"/>
    <s v="Travel_Rarely"/>
    <n v="971"/>
    <x v="1"/>
    <n v="1"/>
    <n v="3"/>
    <s v="Medical"/>
    <n v="1422"/>
    <n v="4"/>
    <x v="0"/>
    <n v="54"/>
    <n v="3"/>
    <x v="3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x v="1"/>
    <x v="3"/>
    <s v="10+ yrs"/>
    <x v="0"/>
    <s v="Very Satisfied"/>
    <n v="207936"/>
  </r>
  <r>
    <n v="58"/>
    <x v="1"/>
    <s v="Travel_Rarely"/>
    <n v="1055"/>
    <x v="1"/>
    <n v="1"/>
    <n v="3"/>
    <s v="Medical"/>
    <n v="1423"/>
    <n v="4"/>
    <x v="0"/>
    <n v="76"/>
    <n v="3"/>
    <x v="4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x v="1"/>
    <x v="3"/>
    <s v="6-10 yrs"/>
    <x v="1"/>
    <s v="Very Dissatisfied"/>
    <n v="236412"/>
  </r>
  <r>
    <n v="55"/>
    <x v="1"/>
    <s v="Travel_Rarely"/>
    <n v="1136"/>
    <x v="1"/>
    <n v="1"/>
    <n v="4"/>
    <s v="Medical"/>
    <n v="1424"/>
    <n v="2"/>
    <x v="1"/>
    <n v="81"/>
    <n v="4"/>
    <x v="3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x v="1"/>
    <x v="3"/>
    <s v="6-10 yrs"/>
    <x v="0"/>
    <s v="Very Satisfied"/>
    <n v="176784"/>
  </r>
  <r>
    <n v="36"/>
    <x v="1"/>
    <s v="Travel_Rarely"/>
    <n v="1174"/>
    <x v="0"/>
    <n v="3"/>
    <n v="4"/>
    <s v="Marketing"/>
    <n v="1425"/>
    <n v="1"/>
    <x v="0"/>
    <n v="99"/>
    <n v="3"/>
    <x v="0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  <x v="0"/>
    <x v="2"/>
    <s v="3-5 yrs"/>
    <x v="0"/>
    <s v="Dissatisfied"/>
    <n v="111336"/>
  </r>
  <r>
    <n v="31"/>
    <x v="0"/>
    <s v="Travel_Frequently"/>
    <n v="667"/>
    <x v="0"/>
    <n v="1"/>
    <n v="4"/>
    <s v="Life Sciences"/>
    <n v="1427"/>
    <n v="2"/>
    <x v="0"/>
    <n v="50"/>
    <n v="1"/>
    <x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  <x v="2"/>
    <x v="1"/>
    <s v="0-2 yrs"/>
    <x v="0"/>
    <s v="Satisfied"/>
    <n v="16308"/>
  </r>
  <r>
    <n v="30"/>
    <x v="1"/>
    <s v="Travel_Rarely"/>
    <n v="855"/>
    <x v="0"/>
    <n v="7"/>
    <n v="4"/>
    <s v="Marketing"/>
    <n v="1428"/>
    <n v="4"/>
    <x v="0"/>
    <n v="73"/>
    <n v="3"/>
    <x v="0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  <x v="2"/>
    <x v="0"/>
    <s v="3-5 yrs"/>
    <x v="0"/>
    <s v="Very Dissatisfied"/>
    <n v="57348"/>
  </r>
  <r>
    <n v="31"/>
    <x v="1"/>
    <s v="Travel_Rarely"/>
    <n v="182"/>
    <x v="1"/>
    <n v="8"/>
    <n v="5"/>
    <s v="Life Sciences"/>
    <n v="1430"/>
    <n v="1"/>
    <x v="0"/>
    <n v="93"/>
    <n v="3"/>
    <x v="3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  <x v="2"/>
    <x v="3"/>
    <s v="3-5 yrs"/>
    <x v="0"/>
    <s v="Dissatisfied"/>
    <n v="197064"/>
  </r>
  <r>
    <n v="34"/>
    <x v="1"/>
    <s v="Travel_Frequently"/>
    <n v="560"/>
    <x v="1"/>
    <n v="1"/>
    <n v="4"/>
    <s v="Other"/>
    <n v="1431"/>
    <n v="4"/>
    <x v="1"/>
    <n v="91"/>
    <n v="3"/>
    <x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x v="2"/>
    <x v="1"/>
    <s v="3-5 yrs"/>
    <x v="0"/>
    <s v="Very Dissatisfied"/>
    <n v="35952"/>
  </r>
  <r>
    <n v="31"/>
    <x v="0"/>
    <s v="Travel_Rarely"/>
    <n v="202"/>
    <x v="1"/>
    <n v="8"/>
    <n v="3"/>
    <s v="Life Sciences"/>
    <n v="1433"/>
    <n v="1"/>
    <x v="0"/>
    <n v="34"/>
    <n v="2"/>
    <x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  <x v="2"/>
    <x v="1"/>
    <s v="0-2 yrs"/>
    <x v="0"/>
    <s v="Dissatisfied"/>
    <n v="15132"/>
  </r>
  <r>
    <n v="27"/>
    <x v="1"/>
    <s v="Travel_Rarely"/>
    <n v="1377"/>
    <x v="1"/>
    <n v="11"/>
    <n v="1"/>
    <s v="Life Sciences"/>
    <n v="1434"/>
    <n v="2"/>
    <x v="1"/>
    <n v="91"/>
    <n v="3"/>
    <x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  <x v="2"/>
    <x v="1"/>
    <s v="3-5 yrs"/>
    <x v="0"/>
    <s v="Very Dissatisfied"/>
    <n v="25188"/>
  </r>
  <r>
    <n v="36"/>
    <x v="1"/>
    <s v="Travel_Rarely"/>
    <n v="172"/>
    <x v="1"/>
    <n v="4"/>
    <n v="4"/>
    <s v="Life Sciences"/>
    <n v="1435"/>
    <n v="1"/>
    <x v="1"/>
    <n v="37"/>
    <n v="2"/>
    <x v="0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  <x v="0"/>
    <x v="0"/>
    <s v="6-10 yrs"/>
    <x v="0"/>
    <s v="Very Satisfied"/>
    <n v="69720"/>
  </r>
  <r>
    <n v="36"/>
    <x v="1"/>
    <s v="Travel_Rarely"/>
    <n v="329"/>
    <x v="0"/>
    <n v="16"/>
    <n v="4"/>
    <s v="Marketing"/>
    <n v="1436"/>
    <n v="3"/>
    <x v="0"/>
    <n v="98"/>
    <n v="2"/>
    <x v="0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  <x v="0"/>
    <x v="0"/>
    <s v="3-5 yrs"/>
    <x v="0"/>
    <s v="Very Dissatisfied"/>
    <n v="67764"/>
  </r>
  <r>
    <n v="47"/>
    <x v="1"/>
    <s v="Travel_Rarely"/>
    <n v="465"/>
    <x v="1"/>
    <n v="1"/>
    <n v="3"/>
    <s v="Technical Degree"/>
    <n v="1438"/>
    <n v="1"/>
    <x v="1"/>
    <n v="74"/>
    <n v="3"/>
    <x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  <x v="1"/>
    <x v="0"/>
    <s v="6-10 yrs"/>
    <x v="0"/>
    <s v="Very Satisfied"/>
    <n v="41040"/>
  </r>
  <r>
    <n v="25"/>
    <x v="0"/>
    <s v="Travel_Rarely"/>
    <n v="383"/>
    <x v="0"/>
    <n v="9"/>
    <n v="2"/>
    <s v="Life Sciences"/>
    <n v="1439"/>
    <n v="1"/>
    <x v="1"/>
    <n v="68"/>
    <n v="2"/>
    <x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  <x v="3"/>
    <x v="0"/>
    <s v="3-5 yrs"/>
    <x v="0"/>
    <s v="Very Dissatisfied"/>
    <n v="52800"/>
  </r>
  <r>
    <n v="37"/>
    <x v="1"/>
    <s v="Non-Travel"/>
    <n v="1413"/>
    <x v="1"/>
    <n v="5"/>
    <n v="2"/>
    <s v="Technical Degree"/>
    <n v="1440"/>
    <n v="3"/>
    <x v="1"/>
    <n v="84"/>
    <n v="4"/>
    <x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  <x v="0"/>
    <x v="0"/>
    <s v="6-10 yrs"/>
    <x v="0"/>
    <s v="Satisfied"/>
    <n v="42000"/>
  </r>
  <r>
    <n v="56"/>
    <x v="1"/>
    <s v="Travel_Rarely"/>
    <n v="1255"/>
    <x v="1"/>
    <n v="1"/>
    <n v="2"/>
    <s v="Life Sciences"/>
    <n v="1441"/>
    <n v="1"/>
    <x v="0"/>
    <n v="90"/>
    <n v="3"/>
    <x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  <x v="1"/>
    <x v="1"/>
    <s v="3-5 yrs"/>
    <x v="1"/>
    <s v="Very Dissatisfied"/>
    <n v="24792"/>
  </r>
  <r>
    <n v="47"/>
    <x v="1"/>
    <s v="Travel_Rarely"/>
    <n v="359"/>
    <x v="1"/>
    <n v="2"/>
    <n v="4"/>
    <s v="Medical"/>
    <n v="1443"/>
    <n v="1"/>
    <x v="0"/>
    <n v="82"/>
    <n v="3"/>
    <x v="3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x v="1"/>
    <x v="3"/>
    <s v="10+ yrs"/>
    <x v="0"/>
    <s v="Satisfied"/>
    <n v="206028"/>
  </r>
  <r>
    <n v="24"/>
    <x v="1"/>
    <s v="Travel_Rarely"/>
    <n v="1476"/>
    <x v="0"/>
    <n v="4"/>
    <n v="1"/>
    <s v="Medical"/>
    <n v="1445"/>
    <n v="4"/>
    <x v="0"/>
    <n v="42"/>
    <n v="3"/>
    <x v="0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  <x v="3"/>
    <x v="0"/>
    <s v="3-5 yrs"/>
    <x v="0"/>
    <s v="Satisfied"/>
    <n v="49944"/>
  </r>
  <r>
    <n v="32"/>
    <x v="1"/>
    <s v="Travel_Rarely"/>
    <n v="601"/>
    <x v="0"/>
    <n v="7"/>
    <n v="5"/>
    <s v="Marketing"/>
    <n v="1446"/>
    <n v="4"/>
    <x v="1"/>
    <n v="97"/>
    <n v="3"/>
    <x v="0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  <x v="2"/>
    <x v="2"/>
    <s v="3-5 yrs"/>
    <x v="0"/>
    <s v="Very Satisfied"/>
    <n v="110448"/>
  </r>
  <r>
    <n v="34"/>
    <x v="1"/>
    <s v="Travel_Rarely"/>
    <n v="401"/>
    <x v="1"/>
    <n v="1"/>
    <n v="3"/>
    <s v="Life Sciences"/>
    <n v="1447"/>
    <n v="4"/>
    <x v="0"/>
    <n v="86"/>
    <n v="2"/>
    <x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  <x v="2"/>
    <x v="0"/>
    <s v="3-5 yrs"/>
    <x v="0"/>
    <s v="Dissatisfied"/>
    <n v="39528"/>
  </r>
  <r>
    <n v="41"/>
    <x v="1"/>
    <s v="Travel_Rarely"/>
    <n v="1283"/>
    <x v="1"/>
    <n v="5"/>
    <n v="5"/>
    <s v="Medical"/>
    <n v="1448"/>
    <n v="2"/>
    <x v="1"/>
    <n v="90"/>
    <n v="4"/>
    <x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  <x v="0"/>
    <x v="1"/>
    <s v="3-5 yrs"/>
    <x v="0"/>
    <s v="Satisfied"/>
    <n v="25524"/>
  </r>
  <r>
    <n v="40"/>
    <x v="1"/>
    <s v="Non-Travel"/>
    <n v="663"/>
    <x v="1"/>
    <n v="9"/>
    <n v="4"/>
    <s v="Other"/>
    <n v="1449"/>
    <n v="3"/>
    <x v="1"/>
    <n v="81"/>
    <n v="3"/>
    <x v="0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x v="0"/>
    <x v="0"/>
    <s v="6-10 yrs"/>
    <x v="0"/>
    <s v="Satisfied"/>
    <n v="47700"/>
  </r>
  <r>
    <n v="31"/>
    <x v="1"/>
    <s v="Travel_Rarely"/>
    <n v="326"/>
    <x v="0"/>
    <n v="8"/>
    <n v="2"/>
    <s v="Life Sciences"/>
    <n v="1453"/>
    <n v="1"/>
    <x v="1"/>
    <n v="31"/>
    <n v="3"/>
    <x v="2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x v="2"/>
    <x v="3"/>
    <s v="10+ yrs"/>
    <x v="0"/>
    <s v="Very Satisfied"/>
    <n v="129516"/>
  </r>
  <r>
    <n v="46"/>
    <x v="0"/>
    <s v="Travel_Rarely"/>
    <n v="377"/>
    <x v="0"/>
    <n v="9"/>
    <n v="3"/>
    <s v="Marketing"/>
    <n v="1457"/>
    <n v="1"/>
    <x v="1"/>
    <n v="52"/>
    <n v="3"/>
    <x v="2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x v="1"/>
    <x v="3"/>
    <s v="6-10 yrs"/>
    <x v="0"/>
    <s v="Very Satisfied"/>
    <n v="121152"/>
  </r>
  <r>
    <n v="39"/>
    <x v="0"/>
    <s v="Non-Travel"/>
    <n v="592"/>
    <x v="1"/>
    <n v="2"/>
    <n v="3"/>
    <s v="Life Sciences"/>
    <n v="1458"/>
    <n v="1"/>
    <x v="0"/>
    <n v="54"/>
    <n v="2"/>
    <x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  <x v="0"/>
    <x v="0"/>
    <s v="0-2 yrs"/>
    <x v="1"/>
    <s v="Very Dissatisfied"/>
    <n v="43752"/>
  </r>
  <r>
    <n v="31"/>
    <x v="0"/>
    <s v="Travel_Frequently"/>
    <n v="1445"/>
    <x v="1"/>
    <n v="1"/>
    <n v="5"/>
    <s v="Life Sciences"/>
    <n v="1459"/>
    <n v="3"/>
    <x v="0"/>
    <n v="100"/>
    <n v="4"/>
    <x v="2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  <x v="2"/>
    <x v="2"/>
    <s v="6-10 yrs"/>
    <x v="0"/>
    <s v="Dissatisfied"/>
    <n v="89352"/>
  </r>
  <r>
    <n v="45"/>
    <x v="1"/>
    <s v="Travel_Rarely"/>
    <n v="1038"/>
    <x v="1"/>
    <n v="20"/>
    <n v="3"/>
    <s v="Medical"/>
    <n v="1460"/>
    <n v="2"/>
    <x v="1"/>
    <n v="95"/>
    <n v="1"/>
    <x v="2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x v="0"/>
    <x v="3"/>
    <s v="6-10 yrs"/>
    <x v="0"/>
    <s v="Very Dissatisfied"/>
    <n v="130212"/>
  </r>
  <r>
    <n v="31"/>
    <x v="1"/>
    <s v="Travel_Rarely"/>
    <n v="1398"/>
    <x v="2"/>
    <n v="8"/>
    <n v="2"/>
    <s v="Medical"/>
    <n v="1461"/>
    <n v="4"/>
    <x v="0"/>
    <n v="96"/>
    <n v="4"/>
    <x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  <x v="2"/>
    <x v="1"/>
    <s v="3-5 yrs"/>
    <x v="0"/>
    <s v="Dissatisfied"/>
    <n v="25308"/>
  </r>
  <r>
    <n v="31"/>
    <x v="0"/>
    <s v="Travel_Frequently"/>
    <n v="523"/>
    <x v="1"/>
    <n v="2"/>
    <n v="3"/>
    <s v="Life Sciences"/>
    <n v="1464"/>
    <n v="2"/>
    <x v="1"/>
    <n v="94"/>
    <n v="3"/>
    <x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  <x v="2"/>
    <x v="0"/>
    <s v="0-2 yrs"/>
    <x v="0"/>
    <s v="Very Satisfied"/>
    <n v="44664"/>
  </r>
  <r>
    <n v="45"/>
    <x v="1"/>
    <s v="Travel_Rarely"/>
    <n v="1448"/>
    <x v="1"/>
    <n v="29"/>
    <n v="3"/>
    <s v="Technical Degree"/>
    <n v="1465"/>
    <n v="2"/>
    <x v="1"/>
    <n v="55"/>
    <n v="3"/>
    <x v="2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  <x v="0"/>
    <x v="2"/>
    <s v="3-5 yrs"/>
    <x v="0"/>
    <s v="Very Satisfied"/>
    <n v="112560"/>
  </r>
  <r>
    <n v="48"/>
    <x v="1"/>
    <s v="Travel_Rarely"/>
    <n v="1221"/>
    <x v="0"/>
    <n v="7"/>
    <n v="3"/>
    <s v="Marketing"/>
    <n v="1466"/>
    <n v="3"/>
    <x v="1"/>
    <n v="96"/>
    <n v="3"/>
    <x v="0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x v="1"/>
    <x v="0"/>
    <s v="0-2 yrs"/>
    <x v="0"/>
    <s v="Very Dissatisfied"/>
    <n v="65832"/>
  </r>
  <r>
    <n v="34"/>
    <x v="0"/>
    <s v="Travel_Rarely"/>
    <n v="1107"/>
    <x v="2"/>
    <n v="9"/>
    <n v="4"/>
    <s v="Technical Degree"/>
    <n v="1467"/>
    <n v="1"/>
    <x v="0"/>
    <n v="52"/>
    <n v="3"/>
    <x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  <x v="2"/>
    <x v="1"/>
    <s v="0-2 yrs"/>
    <x v="0"/>
    <s v="Satisfied"/>
    <n v="32904"/>
  </r>
  <r>
    <n v="40"/>
    <x v="1"/>
    <s v="Non-Travel"/>
    <n v="218"/>
    <x v="1"/>
    <n v="8"/>
    <n v="1"/>
    <s v="Medical"/>
    <n v="1468"/>
    <n v="4"/>
    <x v="1"/>
    <n v="55"/>
    <n v="2"/>
    <x v="2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x v="0"/>
    <x v="3"/>
    <s v="6-10 yrs"/>
    <x v="0"/>
    <s v="Dissatisfied"/>
    <n v="165084"/>
  </r>
  <r>
    <n v="28"/>
    <x v="1"/>
    <s v="Travel_Rarely"/>
    <n v="866"/>
    <x v="0"/>
    <n v="5"/>
    <n v="3"/>
    <s v="Medical"/>
    <n v="1469"/>
    <n v="4"/>
    <x v="1"/>
    <n v="84"/>
    <n v="3"/>
    <x v="0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  <x v="2"/>
    <x v="2"/>
    <s v="3-5 yrs"/>
    <x v="0"/>
    <s v="Very Dissatisfied"/>
    <n v="101556"/>
  </r>
  <r>
    <n v="44"/>
    <x v="1"/>
    <s v="Non-Travel"/>
    <n v="981"/>
    <x v="1"/>
    <n v="5"/>
    <n v="3"/>
    <s v="Life Sciences"/>
    <n v="1471"/>
    <n v="3"/>
    <x v="1"/>
    <n v="90"/>
    <n v="2"/>
    <x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  <x v="0"/>
    <x v="0"/>
    <s v="3-5 yrs"/>
    <x v="0"/>
    <s v="Satisfied"/>
    <n v="37944"/>
  </r>
  <r>
    <n v="53"/>
    <x v="1"/>
    <s v="Travel_Rarely"/>
    <n v="447"/>
    <x v="1"/>
    <n v="2"/>
    <n v="3"/>
    <s v="Medical"/>
    <n v="1472"/>
    <n v="4"/>
    <x v="1"/>
    <n v="39"/>
    <n v="4"/>
    <x v="3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  <x v="1"/>
    <x v="3"/>
    <s v="6-10 yrs"/>
    <x v="0"/>
    <s v="Dissatisfied"/>
    <n v="199176"/>
  </r>
  <r>
    <n v="49"/>
    <x v="1"/>
    <s v="Travel_Rarely"/>
    <n v="1495"/>
    <x v="1"/>
    <n v="5"/>
    <n v="4"/>
    <s v="Technical Degree"/>
    <n v="1473"/>
    <n v="1"/>
    <x v="1"/>
    <n v="96"/>
    <n v="3"/>
    <x v="0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  <x v="1"/>
    <x v="2"/>
    <s v="3-5 yrs"/>
    <x v="0"/>
    <s v="Satisfied"/>
    <n v="79812"/>
  </r>
  <r>
    <n v="40"/>
    <x v="1"/>
    <s v="Travel_Rarely"/>
    <n v="896"/>
    <x v="1"/>
    <n v="2"/>
    <n v="3"/>
    <s v="Medical"/>
    <n v="1474"/>
    <n v="3"/>
    <x v="1"/>
    <n v="68"/>
    <n v="3"/>
    <x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  <x v="0"/>
    <x v="1"/>
    <s v="3-5 yrs"/>
    <x v="0"/>
    <s v="Satisfied"/>
    <n v="28140"/>
  </r>
  <r>
    <n v="44"/>
    <x v="1"/>
    <s v="Travel_Rarely"/>
    <n v="1467"/>
    <x v="1"/>
    <n v="20"/>
    <n v="3"/>
    <s v="Life Sciences"/>
    <n v="1475"/>
    <n v="4"/>
    <x v="1"/>
    <n v="49"/>
    <n v="3"/>
    <x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  <x v="0"/>
    <x v="0"/>
    <s v="3-5 yrs"/>
    <x v="0"/>
    <s v="Dissatisfied"/>
    <n v="41040"/>
  </r>
  <r>
    <n v="33"/>
    <x v="1"/>
    <s v="Travel_Frequently"/>
    <n v="430"/>
    <x v="0"/>
    <n v="7"/>
    <n v="3"/>
    <s v="Medical"/>
    <n v="1477"/>
    <n v="4"/>
    <x v="1"/>
    <n v="54"/>
    <n v="3"/>
    <x v="0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  <x v="2"/>
    <x v="0"/>
    <s v="3-5 yrs"/>
    <x v="0"/>
    <s v="Very Dissatisfied"/>
    <n v="52476"/>
  </r>
  <r>
    <n v="34"/>
    <x v="1"/>
    <s v="Travel_Rarely"/>
    <n v="1326"/>
    <x v="0"/>
    <n v="3"/>
    <n v="3"/>
    <s v="Other"/>
    <n v="1478"/>
    <n v="4"/>
    <x v="1"/>
    <n v="81"/>
    <n v="1"/>
    <x v="0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x v="2"/>
    <x v="0"/>
    <s v="10+ yrs"/>
    <x v="0"/>
    <s v="Very Dissatisfied"/>
    <n v="57108"/>
  </r>
  <r>
    <n v="30"/>
    <x v="1"/>
    <s v="Travel_Rarely"/>
    <n v="1358"/>
    <x v="0"/>
    <n v="16"/>
    <n v="1"/>
    <s v="Life Sciences"/>
    <n v="1479"/>
    <n v="4"/>
    <x v="1"/>
    <n v="96"/>
    <n v="3"/>
    <x v="0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  <x v="2"/>
    <x v="0"/>
    <s v="0-2 yrs"/>
    <x v="0"/>
    <s v="Satisfied"/>
    <n v="63612"/>
  </r>
  <r>
    <n v="42"/>
    <x v="1"/>
    <s v="Travel_Frequently"/>
    <n v="748"/>
    <x v="1"/>
    <n v="9"/>
    <n v="2"/>
    <s v="Medical"/>
    <n v="1480"/>
    <n v="1"/>
    <x v="0"/>
    <n v="74"/>
    <n v="3"/>
    <x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  <x v="0"/>
    <x v="0"/>
    <s v="10+ yrs"/>
    <x v="0"/>
    <s v="Very Satisfied"/>
    <n v="44076"/>
  </r>
  <r>
    <n v="44"/>
    <x v="1"/>
    <s v="Travel_Frequently"/>
    <n v="383"/>
    <x v="0"/>
    <n v="1"/>
    <n v="5"/>
    <s v="Marketing"/>
    <n v="1481"/>
    <n v="1"/>
    <x v="0"/>
    <n v="79"/>
    <n v="3"/>
    <x v="0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  <x v="0"/>
    <x v="0"/>
    <s v="0-2 yrs"/>
    <x v="0"/>
    <s v="Satisfied"/>
    <n v="57216"/>
  </r>
  <r>
    <n v="30"/>
    <x v="1"/>
    <s v="Non-Travel"/>
    <n v="990"/>
    <x v="1"/>
    <n v="7"/>
    <n v="3"/>
    <s v="Technical Degree"/>
    <n v="1482"/>
    <n v="3"/>
    <x v="1"/>
    <n v="64"/>
    <n v="3"/>
    <x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  <x v="2"/>
    <x v="1"/>
    <s v="0-2 yrs"/>
    <x v="0"/>
    <s v="Satisfied"/>
    <n v="15288"/>
  </r>
  <r>
    <n v="57"/>
    <x v="1"/>
    <s v="Travel_Rarely"/>
    <n v="405"/>
    <x v="1"/>
    <n v="1"/>
    <n v="2"/>
    <s v="Life Sciences"/>
    <n v="1483"/>
    <n v="2"/>
    <x v="1"/>
    <n v="93"/>
    <n v="4"/>
    <x v="0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  <x v="1"/>
    <x v="0"/>
    <s v="10+ yrs"/>
    <x v="1"/>
    <s v="Satisfied"/>
    <n v="58800"/>
  </r>
  <r>
    <n v="49"/>
    <x v="1"/>
    <s v="Travel_Rarely"/>
    <n v="1490"/>
    <x v="1"/>
    <n v="7"/>
    <n v="4"/>
    <s v="Life Sciences"/>
    <n v="1484"/>
    <n v="3"/>
    <x v="1"/>
    <n v="35"/>
    <n v="3"/>
    <x v="2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x v="1"/>
    <x v="3"/>
    <s v="6-10 yrs"/>
    <x v="0"/>
    <s v="Dissatisfied"/>
    <n v="125592"/>
  </r>
  <r>
    <n v="34"/>
    <x v="1"/>
    <s v="Travel_Frequently"/>
    <n v="829"/>
    <x v="1"/>
    <n v="15"/>
    <n v="3"/>
    <s v="Medical"/>
    <n v="1485"/>
    <n v="2"/>
    <x v="1"/>
    <n v="71"/>
    <n v="3"/>
    <x v="3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x v="2"/>
    <x v="3"/>
    <s v="10+ yrs"/>
    <x v="0"/>
    <s v="Very Dissatisfied"/>
    <n v="204084"/>
  </r>
  <r>
    <n v="28"/>
    <x v="0"/>
    <s v="Travel_Frequently"/>
    <n v="1496"/>
    <x v="0"/>
    <n v="1"/>
    <n v="3"/>
    <s v="Technical Degree"/>
    <n v="1486"/>
    <n v="1"/>
    <x v="1"/>
    <n v="92"/>
    <n v="3"/>
    <x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  <x v="2"/>
    <x v="1"/>
    <s v="3-5 yrs"/>
    <x v="0"/>
    <s v="Satisfied"/>
    <n v="34908"/>
  </r>
  <r>
    <n v="29"/>
    <x v="0"/>
    <s v="Travel_Frequently"/>
    <n v="115"/>
    <x v="0"/>
    <n v="13"/>
    <n v="3"/>
    <s v="Technical Degree"/>
    <n v="1487"/>
    <n v="1"/>
    <x v="0"/>
    <n v="51"/>
    <n v="3"/>
    <x v="0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  <x v="2"/>
    <x v="0"/>
    <s v="3-5 yrs"/>
    <x v="0"/>
    <s v="Dissatisfied"/>
    <n v="69180"/>
  </r>
  <r>
    <n v="34"/>
    <x v="0"/>
    <s v="Travel_Rarely"/>
    <n v="790"/>
    <x v="0"/>
    <n v="24"/>
    <n v="4"/>
    <s v="Medical"/>
    <n v="1489"/>
    <n v="1"/>
    <x v="0"/>
    <n v="40"/>
    <n v="2"/>
    <x v="0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x v="2"/>
    <x v="0"/>
    <s v="10+ yrs"/>
    <x v="1"/>
    <s v="Dissatisfied"/>
    <n v="55188"/>
  </r>
  <r>
    <n v="35"/>
    <x v="1"/>
    <s v="Travel_Rarely"/>
    <n v="660"/>
    <x v="0"/>
    <n v="7"/>
    <n v="1"/>
    <s v="Life Sciences"/>
    <n v="1492"/>
    <n v="4"/>
    <x v="1"/>
    <n v="76"/>
    <n v="3"/>
    <x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  <x v="2"/>
    <x v="1"/>
    <s v="0-2 yrs"/>
    <x v="0"/>
    <s v="Satisfied"/>
    <n v="28848"/>
  </r>
  <r>
    <n v="24"/>
    <x v="0"/>
    <s v="Travel_Frequently"/>
    <n v="381"/>
    <x v="1"/>
    <n v="9"/>
    <n v="3"/>
    <s v="Medical"/>
    <n v="1494"/>
    <n v="2"/>
    <x v="1"/>
    <n v="89"/>
    <n v="3"/>
    <x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  <x v="3"/>
    <x v="0"/>
    <s v="0-2 yrs"/>
    <x v="0"/>
    <s v="Very Dissatisfied"/>
    <n v="38064"/>
  </r>
  <r>
    <n v="24"/>
    <x v="1"/>
    <s v="Non-Travel"/>
    <n v="830"/>
    <x v="0"/>
    <n v="13"/>
    <n v="2"/>
    <s v="Life Sciences"/>
    <n v="1495"/>
    <n v="4"/>
    <x v="0"/>
    <n v="78"/>
    <n v="3"/>
    <x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  <x v="3"/>
    <x v="1"/>
    <s v="0-2 yrs"/>
    <x v="0"/>
    <s v="Dissatisfied"/>
    <n v="24396"/>
  </r>
  <r>
    <n v="44"/>
    <x v="1"/>
    <s v="Travel_Frequently"/>
    <n v="1193"/>
    <x v="1"/>
    <n v="2"/>
    <n v="1"/>
    <s v="Medical"/>
    <n v="1496"/>
    <n v="2"/>
    <x v="1"/>
    <n v="86"/>
    <n v="3"/>
    <x v="2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  <x v="0"/>
    <x v="3"/>
    <s v="0-2 yrs"/>
    <x v="0"/>
    <s v="Satisfied"/>
    <n v="122508"/>
  </r>
  <r>
    <n v="29"/>
    <x v="1"/>
    <s v="Travel_Rarely"/>
    <n v="1246"/>
    <x v="0"/>
    <n v="19"/>
    <n v="3"/>
    <s v="Life Sciences"/>
    <n v="1497"/>
    <n v="3"/>
    <x v="1"/>
    <n v="77"/>
    <n v="2"/>
    <x v="0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x v="2"/>
    <x v="2"/>
    <s v="6-10 yrs"/>
    <x v="0"/>
    <s v="Satisfied"/>
    <n v="103440"/>
  </r>
  <r>
    <n v="30"/>
    <x v="1"/>
    <s v="Travel_Rarely"/>
    <n v="330"/>
    <x v="2"/>
    <n v="1"/>
    <n v="3"/>
    <s v="Life Sciences"/>
    <n v="1499"/>
    <n v="3"/>
    <x v="1"/>
    <n v="46"/>
    <n v="3"/>
    <x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  <x v="2"/>
    <x v="1"/>
    <s v="3-5 yrs"/>
    <x v="1"/>
    <s v="Satisfied"/>
    <n v="24768"/>
  </r>
  <r>
    <n v="55"/>
    <x v="1"/>
    <s v="Travel_Rarely"/>
    <n v="1229"/>
    <x v="1"/>
    <n v="4"/>
    <n v="4"/>
    <s v="Life Sciences"/>
    <n v="1501"/>
    <n v="4"/>
    <x v="1"/>
    <n v="30"/>
    <n v="3"/>
    <x v="0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  <x v="1"/>
    <x v="0"/>
    <s v="3-5 yrs"/>
    <x v="0"/>
    <s v="Satisfied"/>
    <n v="48420"/>
  </r>
  <r>
    <n v="33"/>
    <x v="1"/>
    <s v="Travel_Rarely"/>
    <n v="1099"/>
    <x v="1"/>
    <n v="4"/>
    <n v="4"/>
    <s v="Medical"/>
    <n v="1502"/>
    <n v="1"/>
    <x v="0"/>
    <n v="82"/>
    <n v="2"/>
    <x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  <x v="2"/>
    <x v="0"/>
    <s v="3-5 yrs"/>
    <x v="0"/>
    <s v="Dissatisfied"/>
    <n v="46056"/>
  </r>
  <r>
    <n v="47"/>
    <x v="1"/>
    <s v="Travel_Rarely"/>
    <n v="571"/>
    <x v="0"/>
    <n v="14"/>
    <n v="3"/>
    <s v="Medical"/>
    <n v="1503"/>
    <n v="3"/>
    <x v="0"/>
    <n v="78"/>
    <n v="3"/>
    <x v="0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  <x v="1"/>
    <x v="0"/>
    <s v="3-5 yrs"/>
    <x v="0"/>
    <s v="Satisfied"/>
    <n v="55092"/>
  </r>
  <r>
    <n v="28"/>
    <x v="0"/>
    <s v="Travel_Frequently"/>
    <n v="289"/>
    <x v="1"/>
    <n v="2"/>
    <n v="2"/>
    <s v="Medical"/>
    <n v="1504"/>
    <n v="3"/>
    <x v="1"/>
    <n v="38"/>
    <n v="2"/>
    <x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  <x v="2"/>
    <x v="1"/>
    <s v="0-2 yrs"/>
    <x v="0"/>
    <s v="Very Dissatisfied"/>
    <n v="30732"/>
  </r>
  <r>
    <n v="28"/>
    <x v="1"/>
    <s v="Travel_Rarely"/>
    <n v="1423"/>
    <x v="1"/>
    <n v="1"/>
    <n v="3"/>
    <s v="Life Sciences"/>
    <n v="1506"/>
    <n v="1"/>
    <x v="1"/>
    <n v="72"/>
    <n v="2"/>
    <x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  <x v="2"/>
    <x v="1"/>
    <s v="0-2 yrs"/>
    <x v="0"/>
    <s v="Satisfied"/>
    <n v="18756"/>
  </r>
  <r>
    <n v="28"/>
    <x v="1"/>
    <s v="Travel_Frequently"/>
    <n v="467"/>
    <x v="0"/>
    <n v="7"/>
    <n v="3"/>
    <s v="Life Sciences"/>
    <n v="1507"/>
    <n v="3"/>
    <x v="1"/>
    <n v="55"/>
    <n v="3"/>
    <x v="0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  <x v="2"/>
    <x v="0"/>
    <s v="3-5 yrs"/>
    <x v="0"/>
    <s v="Very Dissatisfied"/>
    <n v="58776"/>
  </r>
  <r>
    <n v="49"/>
    <x v="1"/>
    <s v="Travel_Rarely"/>
    <n v="271"/>
    <x v="1"/>
    <n v="3"/>
    <n v="2"/>
    <s v="Medical"/>
    <n v="1509"/>
    <n v="3"/>
    <x v="0"/>
    <n v="43"/>
    <n v="2"/>
    <x v="0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  <x v="1"/>
    <x v="0"/>
    <s v="3-5 yrs"/>
    <x v="1"/>
    <s v="Very Dissatisfied"/>
    <n v="57468"/>
  </r>
  <r>
    <n v="29"/>
    <x v="1"/>
    <s v="Travel_Frequently"/>
    <n v="410"/>
    <x v="1"/>
    <n v="2"/>
    <n v="1"/>
    <s v="Life Sciences"/>
    <n v="1513"/>
    <n v="4"/>
    <x v="0"/>
    <n v="97"/>
    <n v="3"/>
    <x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  <x v="2"/>
    <x v="0"/>
    <s v="3-5 yrs"/>
    <x v="0"/>
    <s v="Dissatisfied"/>
    <n v="38160"/>
  </r>
  <r>
    <n v="28"/>
    <x v="1"/>
    <s v="Travel_Rarely"/>
    <n v="1083"/>
    <x v="1"/>
    <n v="29"/>
    <n v="1"/>
    <s v="Life Sciences"/>
    <n v="1514"/>
    <n v="3"/>
    <x v="1"/>
    <n v="96"/>
    <n v="1"/>
    <x v="0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  <x v="2"/>
    <x v="2"/>
    <s v="6-10 yrs"/>
    <x v="0"/>
    <s v="Dissatisfied"/>
    <n v="78588"/>
  </r>
  <r>
    <n v="33"/>
    <x v="1"/>
    <s v="Travel_Rarely"/>
    <n v="516"/>
    <x v="1"/>
    <n v="8"/>
    <n v="5"/>
    <s v="Life Sciences"/>
    <n v="1515"/>
    <n v="4"/>
    <x v="1"/>
    <n v="69"/>
    <n v="3"/>
    <x v="0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  <x v="2"/>
    <x v="2"/>
    <s v="0-2 yrs"/>
    <x v="0"/>
    <s v="Satisfied"/>
    <n v="76656"/>
  </r>
  <r>
    <n v="32"/>
    <x v="1"/>
    <s v="Travel_Rarely"/>
    <n v="495"/>
    <x v="1"/>
    <n v="10"/>
    <n v="3"/>
    <s v="Medical"/>
    <n v="1516"/>
    <n v="3"/>
    <x v="1"/>
    <n v="64"/>
    <n v="3"/>
    <x v="2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  <x v="2"/>
    <x v="3"/>
    <s v="3-5 yrs"/>
    <x v="1"/>
    <s v="Very Satisfied"/>
    <n v="134928"/>
  </r>
  <r>
    <n v="54"/>
    <x v="1"/>
    <s v="Travel_Frequently"/>
    <n v="1050"/>
    <x v="1"/>
    <n v="11"/>
    <n v="4"/>
    <s v="Medical"/>
    <n v="1520"/>
    <n v="2"/>
    <x v="0"/>
    <n v="87"/>
    <n v="3"/>
    <x v="3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x v="1"/>
    <x v="3"/>
    <s v="10+ yrs"/>
    <x v="1"/>
    <s v="Very Satisfied"/>
    <n v="192384"/>
  </r>
  <r>
    <n v="29"/>
    <x v="0"/>
    <s v="Travel_Rarely"/>
    <n v="224"/>
    <x v="1"/>
    <n v="1"/>
    <n v="4"/>
    <s v="Technical Degree"/>
    <n v="1522"/>
    <n v="1"/>
    <x v="1"/>
    <n v="100"/>
    <n v="2"/>
    <x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  <x v="2"/>
    <x v="1"/>
    <s v="6-10 yrs"/>
    <x v="0"/>
    <s v="Very Dissatisfied"/>
    <n v="28344"/>
  </r>
  <r>
    <n v="44"/>
    <x v="1"/>
    <s v="Travel_Rarely"/>
    <n v="136"/>
    <x v="1"/>
    <n v="28"/>
    <n v="3"/>
    <s v="Life Sciences"/>
    <n v="1523"/>
    <n v="4"/>
    <x v="1"/>
    <n v="32"/>
    <n v="3"/>
    <x v="3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x v="0"/>
    <x v="3"/>
    <s v="10+ yrs"/>
    <x v="0"/>
    <s v="Very Dissatisfied"/>
    <n v="195936"/>
  </r>
  <r>
    <n v="39"/>
    <x v="1"/>
    <s v="Travel_Rarely"/>
    <n v="1089"/>
    <x v="1"/>
    <n v="6"/>
    <n v="3"/>
    <s v="Life Sciences"/>
    <n v="1525"/>
    <n v="2"/>
    <x v="0"/>
    <n v="32"/>
    <n v="3"/>
    <x v="2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  <x v="0"/>
    <x v="2"/>
    <s v="0-2 yrs"/>
    <x v="0"/>
    <s v="Dissatisfied"/>
    <n v="100512"/>
  </r>
  <r>
    <n v="46"/>
    <x v="1"/>
    <s v="Travel_Rarely"/>
    <n v="228"/>
    <x v="0"/>
    <n v="3"/>
    <n v="3"/>
    <s v="Life Sciences"/>
    <n v="1527"/>
    <n v="3"/>
    <x v="0"/>
    <n v="51"/>
    <n v="3"/>
    <x v="3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x v="1"/>
    <x v="3"/>
    <s v="10+ yrs"/>
    <x v="0"/>
    <s v="Dissatisfied"/>
    <n v="199272"/>
  </r>
  <r>
    <n v="35"/>
    <x v="1"/>
    <s v="Travel_Rarely"/>
    <n v="1029"/>
    <x v="1"/>
    <n v="16"/>
    <n v="3"/>
    <s v="Life Sciences"/>
    <n v="1529"/>
    <n v="4"/>
    <x v="0"/>
    <n v="91"/>
    <n v="2"/>
    <x v="2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  <x v="2"/>
    <x v="2"/>
    <s v="10+ yrs"/>
    <x v="0"/>
    <s v="Dissatisfied"/>
    <n v="103272"/>
  </r>
  <r>
    <n v="23"/>
    <x v="1"/>
    <s v="Travel_Rarely"/>
    <n v="507"/>
    <x v="1"/>
    <n v="20"/>
    <n v="1"/>
    <s v="Life Sciences"/>
    <n v="1533"/>
    <n v="1"/>
    <x v="1"/>
    <n v="97"/>
    <n v="3"/>
    <x v="0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  <x v="3"/>
    <x v="1"/>
    <s v="3-5 yrs"/>
    <x v="0"/>
    <s v="Satisfied"/>
    <n v="27264"/>
  </r>
  <r>
    <n v="40"/>
    <x v="0"/>
    <s v="Travel_Rarely"/>
    <n v="676"/>
    <x v="1"/>
    <n v="9"/>
    <n v="4"/>
    <s v="Life Sciences"/>
    <n v="1534"/>
    <n v="4"/>
    <x v="1"/>
    <n v="86"/>
    <n v="3"/>
    <x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  <x v="0"/>
    <x v="1"/>
    <s v="3-5 yrs"/>
    <x v="0"/>
    <s v="Very Dissatisfied"/>
    <n v="24216"/>
  </r>
  <r>
    <n v="34"/>
    <x v="1"/>
    <s v="Travel_Rarely"/>
    <n v="971"/>
    <x v="0"/>
    <n v="1"/>
    <n v="3"/>
    <s v="Technical Degree"/>
    <n v="1535"/>
    <n v="4"/>
    <x v="1"/>
    <n v="64"/>
    <n v="2"/>
    <x v="2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x v="2"/>
    <x v="2"/>
    <s v="6-10 yrs"/>
    <x v="0"/>
    <s v="Satisfied"/>
    <n v="84996"/>
  </r>
  <r>
    <n v="31"/>
    <x v="0"/>
    <s v="Travel_Frequently"/>
    <n v="561"/>
    <x v="1"/>
    <n v="3"/>
    <n v="3"/>
    <s v="Life Sciences"/>
    <n v="1537"/>
    <n v="4"/>
    <x v="0"/>
    <n v="33"/>
    <n v="3"/>
    <x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  <x v="2"/>
    <x v="0"/>
    <s v="6-10 yrs"/>
    <x v="0"/>
    <s v="Satisfied"/>
    <n v="49008"/>
  </r>
  <r>
    <n v="50"/>
    <x v="1"/>
    <s v="Travel_Frequently"/>
    <n v="333"/>
    <x v="1"/>
    <n v="22"/>
    <n v="5"/>
    <s v="Medical"/>
    <n v="1539"/>
    <n v="3"/>
    <x v="1"/>
    <n v="88"/>
    <n v="1"/>
    <x v="3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x v="1"/>
    <x v="3"/>
    <s v="10+ yrs"/>
    <x v="0"/>
    <s v="Very Satisfied"/>
    <n v="172932"/>
  </r>
  <r>
    <n v="34"/>
    <x v="1"/>
    <s v="Travel_Rarely"/>
    <n v="1440"/>
    <x v="0"/>
    <n v="7"/>
    <n v="2"/>
    <s v="Technical Degree"/>
    <n v="1541"/>
    <n v="2"/>
    <x v="1"/>
    <n v="55"/>
    <n v="3"/>
    <x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x v="2"/>
    <x v="1"/>
    <s v="10+ yrs"/>
    <x v="1"/>
    <s v="Satisfied"/>
    <n v="27696"/>
  </r>
  <r>
    <n v="42"/>
    <x v="1"/>
    <s v="Travel_Rarely"/>
    <n v="1210"/>
    <x v="1"/>
    <n v="2"/>
    <n v="3"/>
    <s v="Medical"/>
    <n v="1542"/>
    <n v="3"/>
    <x v="1"/>
    <n v="68"/>
    <n v="2"/>
    <x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  <x v="0"/>
    <x v="0"/>
    <s v="0-2 yrs"/>
    <x v="0"/>
    <s v="Dissatisfied"/>
    <n v="58092"/>
  </r>
  <r>
    <n v="37"/>
    <x v="1"/>
    <s v="Travel_Rarely"/>
    <n v="674"/>
    <x v="1"/>
    <n v="13"/>
    <n v="3"/>
    <s v="Medical"/>
    <n v="1543"/>
    <n v="1"/>
    <x v="1"/>
    <n v="47"/>
    <n v="3"/>
    <x v="0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  <x v="0"/>
    <x v="0"/>
    <s v="6-10 yrs"/>
    <x v="0"/>
    <s v="Very Satisfied"/>
    <n v="51420"/>
  </r>
  <r>
    <n v="29"/>
    <x v="1"/>
    <s v="Travel_Rarely"/>
    <n v="441"/>
    <x v="1"/>
    <n v="8"/>
    <n v="1"/>
    <s v="Other"/>
    <n v="1544"/>
    <n v="3"/>
    <x v="0"/>
    <n v="39"/>
    <n v="1"/>
    <x v="0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  <x v="2"/>
    <x v="2"/>
    <s v="6-10 yrs"/>
    <x v="0"/>
    <s v="Very Dissatisfied"/>
    <n v="116580"/>
  </r>
  <r>
    <n v="33"/>
    <x v="1"/>
    <s v="Travel_Rarely"/>
    <n v="575"/>
    <x v="1"/>
    <n v="25"/>
    <n v="3"/>
    <s v="Life Sciences"/>
    <n v="1545"/>
    <n v="4"/>
    <x v="1"/>
    <n v="44"/>
    <n v="2"/>
    <x v="0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  <x v="2"/>
    <x v="0"/>
    <s v="3-5 yrs"/>
    <x v="0"/>
    <s v="Dissatisfied"/>
    <n v="51840"/>
  </r>
  <r>
    <n v="45"/>
    <x v="1"/>
    <s v="Travel_Rarely"/>
    <n v="950"/>
    <x v="1"/>
    <n v="28"/>
    <n v="3"/>
    <s v="Technical Degree"/>
    <n v="1546"/>
    <n v="4"/>
    <x v="1"/>
    <n v="97"/>
    <n v="3"/>
    <x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  <x v="0"/>
    <x v="1"/>
    <s v="3-5 yrs"/>
    <x v="1"/>
    <s v="Very Satisfied"/>
    <n v="25584"/>
  </r>
  <r>
    <n v="42"/>
    <x v="1"/>
    <s v="Travel_Frequently"/>
    <n v="288"/>
    <x v="1"/>
    <n v="2"/>
    <n v="3"/>
    <s v="Life Sciences"/>
    <n v="1547"/>
    <n v="4"/>
    <x v="1"/>
    <n v="40"/>
    <n v="3"/>
    <x v="2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x v="0"/>
    <x v="3"/>
    <s v="10+ yrs"/>
    <x v="0"/>
    <s v="Very Satisfied"/>
    <n v="121488"/>
  </r>
  <r>
    <n v="40"/>
    <x v="1"/>
    <s v="Travel_Rarely"/>
    <n v="1342"/>
    <x v="0"/>
    <n v="9"/>
    <n v="2"/>
    <s v="Medical"/>
    <n v="1548"/>
    <n v="1"/>
    <x v="1"/>
    <n v="47"/>
    <n v="3"/>
    <x v="0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  <x v="0"/>
    <x v="0"/>
    <s v="6-10 yrs"/>
    <x v="0"/>
    <s v="Very Dissatisfied"/>
    <n v="65676"/>
  </r>
  <r>
    <n v="33"/>
    <x v="1"/>
    <s v="Travel_Rarely"/>
    <n v="589"/>
    <x v="1"/>
    <n v="28"/>
    <n v="4"/>
    <s v="Life Sciences"/>
    <n v="1549"/>
    <n v="2"/>
    <x v="1"/>
    <n v="79"/>
    <n v="3"/>
    <x v="0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x v="2"/>
    <x v="0"/>
    <s v="10+ yrs"/>
    <x v="0"/>
    <s v="Satisfied"/>
    <n v="62484"/>
  </r>
  <r>
    <n v="40"/>
    <x v="1"/>
    <s v="Travel_Rarely"/>
    <n v="898"/>
    <x v="2"/>
    <n v="6"/>
    <n v="2"/>
    <s v="Medical"/>
    <n v="1550"/>
    <n v="3"/>
    <x v="1"/>
    <n v="38"/>
    <n v="3"/>
    <x v="3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x v="0"/>
    <x v="3"/>
    <s v="10+ yrs"/>
    <x v="1"/>
    <s v="Very Satisfied"/>
    <n v="197244"/>
  </r>
  <r>
    <n v="24"/>
    <x v="1"/>
    <s v="Travel_Rarely"/>
    <n v="350"/>
    <x v="1"/>
    <n v="21"/>
    <n v="2"/>
    <s v="Technical Degree"/>
    <n v="1551"/>
    <n v="3"/>
    <x v="1"/>
    <n v="57"/>
    <n v="2"/>
    <x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  <x v="3"/>
    <x v="1"/>
    <s v="0-2 yrs"/>
    <x v="0"/>
    <s v="Very Dissatisfied"/>
    <n v="27552"/>
  </r>
  <r>
    <n v="40"/>
    <x v="1"/>
    <s v="Non-Travel"/>
    <n v="1142"/>
    <x v="1"/>
    <n v="8"/>
    <n v="2"/>
    <s v="Life Sciences"/>
    <n v="1552"/>
    <n v="4"/>
    <x v="1"/>
    <n v="72"/>
    <n v="3"/>
    <x v="0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  <x v="0"/>
    <x v="0"/>
    <s v="0-2 yrs"/>
    <x v="0"/>
    <s v="Very Satisfied"/>
    <n v="48828"/>
  </r>
  <r>
    <n v="45"/>
    <x v="1"/>
    <s v="Travel_Rarely"/>
    <n v="538"/>
    <x v="1"/>
    <n v="1"/>
    <n v="4"/>
    <s v="Technical Degree"/>
    <n v="1553"/>
    <n v="1"/>
    <x v="1"/>
    <n v="66"/>
    <n v="3"/>
    <x v="2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x v="0"/>
    <x v="2"/>
    <s v="6-10 yrs"/>
    <x v="0"/>
    <s v="Dissatisfied"/>
    <n v="89292"/>
  </r>
  <r>
    <n v="35"/>
    <x v="1"/>
    <s v="Travel_Rarely"/>
    <n v="1402"/>
    <x v="0"/>
    <n v="28"/>
    <n v="4"/>
    <s v="Life Sciences"/>
    <n v="1554"/>
    <n v="2"/>
    <x v="0"/>
    <n v="98"/>
    <n v="2"/>
    <x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  <x v="2"/>
    <x v="1"/>
    <s v="3-5 yrs"/>
    <x v="1"/>
    <s v="Satisfied"/>
    <n v="29160"/>
  </r>
  <r>
    <n v="32"/>
    <x v="1"/>
    <s v="Travel_Rarely"/>
    <n v="824"/>
    <x v="1"/>
    <n v="5"/>
    <n v="2"/>
    <s v="Life Sciences"/>
    <n v="1555"/>
    <n v="4"/>
    <x v="0"/>
    <n v="67"/>
    <n v="2"/>
    <x v="0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  <x v="2"/>
    <x v="0"/>
    <s v="6-10 yrs"/>
    <x v="0"/>
    <s v="Dissatisfied"/>
    <n v="70536"/>
  </r>
  <r>
    <n v="36"/>
    <x v="1"/>
    <s v="Travel_Rarely"/>
    <n v="1157"/>
    <x v="0"/>
    <n v="2"/>
    <n v="4"/>
    <s v="Life Sciences"/>
    <n v="1556"/>
    <n v="3"/>
    <x v="1"/>
    <n v="70"/>
    <n v="3"/>
    <x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  <x v="0"/>
    <x v="1"/>
    <s v="3-5 yrs"/>
    <x v="1"/>
    <s v="Very Satisfied"/>
    <n v="31728"/>
  </r>
  <r>
    <n v="48"/>
    <x v="1"/>
    <s v="Travel_Rarely"/>
    <n v="492"/>
    <x v="0"/>
    <n v="16"/>
    <n v="4"/>
    <s v="Life Sciences"/>
    <n v="1557"/>
    <n v="3"/>
    <x v="0"/>
    <n v="96"/>
    <n v="3"/>
    <x v="0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x v="1"/>
    <x v="2"/>
    <s v="6-10 yrs"/>
    <x v="0"/>
    <s v="Satisfied"/>
    <n v="77268"/>
  </r>
  <r>
    <n v="29"/>
    <x v="1"/>
    <s v="Travel_Rarely"/>
    <n v="598"/>
    <x v="1"/>
    <n v="9"/>
    <n v="3"/>
    <s v="Life Sciences"/>
    <n v="1558"/>
    <n v="3"/>
    <x v="1"/>
    <n v="91"/>
    <n v="4"/>
    <x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  <x v="2"/>
    <x v="1"/>
    <s v="0-2 yrs"/>
    <x v="0"/>
    <s v="Satisfied"/>
    <n v="29412"/>
  </r>
  <r>
    <n v="33"/>
    <x v="1"/>
    <s v="Travel_Rarely"/>
    <n v="1242"/>
    <x v="0"/>
    <n v="8"/>
    <n v="4"/>
    <s v="Life Sciences"/>
    <n v="1560"/>
    <n v="1"/>
    <x v="1"/>
    <n v="46"/>
    <n v="3"/>
    <x v="0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  <x v="2"/>
    <x v="2"/>
    <s v="0-2 yrs"/>
    <x v="0"/>
    <s v="Very Dissatisfied"/>
    <n v="76704"/>
  </r>
  <r>
    <n v="30"/>
    <x v="0"/>
    <s v="Travel_Rarely"/>
    <n v="740"/>
    <x v="0"/>
    <n v="1"/>
    <n v="3"/>
    <s v="Life Sciences"/>
    <n v="1562"/>
    <n v="2"/>
    <x v="1"/>
    <n v="64"/>
    <n v="2"/>
    <x v="0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  <x v="2"/>
    <x v="2"/>
    <s v="6-10 yrs"/>
    <x v="0"/>
    <s v="Very Dissatisfied"/>
    <n v="116568"/>
  </r>
  <r>
    <n v="38"/>
    <x v="1"/>
    <s v="Travel_Frequently"/>
    <n v="888"/>
    <x v="2"/>
    <n v="10"/>
    <n v="4"/>
    <s v="Human Resources"/>
    <n v="1563"/>
    <n v="3"/>
    <x v="1"/>
    <n v="71"/>
    <n v="3"/>
    <x v="0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  <x v="0"/>
    <x v="2"/>
    <s v="6-10 yrs"/>
    <x v="0"/>
    <s v="Satisfied"/>
    <n v="72924"/>
  </r>
  <r>
    <n v="35"/>
    <x v="1"/>
    <s v="Travel_Rarely"/>
    <n v="992"/>
    <x v="1"/>
    <n v="1"/>
    <n v="3"/>
    <s v="Medical"/>
    <n v="1564"/>
    <n v="4"/>
    <x v="1"/>
    <n v="68"/>
    <n v="2"/>
    <x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  <x v="2"/>
    <x v="1"/>
    <s v="3-5 yrs"/>
    <x v="0"/>
    <s v="Very Dissatisfied"/>
    <n v="29400"/>
  </r>
  <r>
    <n v="30"/>
    <x v="1"/>
    <s v="Travel_Rarely"/>
    <n v="1288"/>
    <x v="0"/>
    <n v="29"/>
    <n v="4"/>
    <s v="Technical Degree"/>
    <n v="1568"/>
    <n v="3"/>
    <x v="1"/>
    <n v="33"/>
    <n v="3"/>
    <x v="2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  <x v="2"/>
    <x v="2"/>
    <s v="3-5 yrs"/>
    <x v="0"/>
    <s v="Dissatisfied"/>
    <n v="111000"/>
  </r>
  <r>
    <n v="35"/>
    <x v="0"/>
    <s v="Travel_Rarely"/>
    <n v="104"/>
    <x v="1"/>
    <n v="2"/>
    <n v="3"/>
    <s v="Life Sciences"/>
    <n v="1569"/>
    <n v="1"/>
    <x v="0"/>
    <n v="69"/>
    <n v="3"/>
    <x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  <x v="2"/>
    <x v="1"/>
    <s v="0-2 yrs"/>
    <x v="0"/>
    <s v="Very Dissatisfied"/>
    <n v="24888"/>
  </r>
  <r>
    <n v="53"/>
    <x v="0"/>
    <s v="Travel_Rarely"/>
    <n v="607"/>
    <x v="1"/>
    <n v="2"/>
    <n v="5"/>
    <s v="Technical Degree"/>
    <n v="1572"/>
    <n v="3"/>
    <x v="0"/>
    <n v="78"/>
    <n v="2"/>
    <x v="2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x v="1"/>
    <x v="3"/>
    <s v="10+ yrs"/>
    <x v="0"/>
    <s v="Very Satisfied"/>
    <n v="122028"/>
  </r>
  <r>
    <n v="38"/>
    <x v="0"/>
    <s v="Travel_Rarely"/>
    <n v="903"/>
    <x v="1"/>
    <n v="2"/>
    <n v="3"/>
    <s v="Medical"/>
    <n v="1573"/>
    <n v="3"/>
    <x v="1"/>
    <n v="81"/>
    <n v="3"/>
    <x v="0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  <x v="0"/>
    <x v="0"/>
    <s v="3-5 yrs"/>
    <x v="0"/>
    <s v="Dissatisfied"/>
    <n v="58260"/>
  </r>
  <r>
    <n v="32"/>
    <x v="1"/>
    <s v="Non-Travel"/>
    <n v="1200"/>
    <x v="1"/>
    <n v="1"/>
    <n v="4"/>
    <s v="Technical Degree"/>
    <n v="1574"/>
    <n v="4"/>
    <x v="1"/>
    <n v="62"/>
    <n v="3"/>
    <x v="0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  <x v="2"/>
    <x v="0"/>
    <s v="6-10 yrs"/>
    <x v="0"/>
    <s v="Very Dissatisfied"/>
    <n v="49044"/>
  </r>
  <r>
    <n v="48"/>
    <x v="1"/>
    <s v="Travel_Rarely"/>
    <n v="1108"/>
    <x v="1"/>
    <n v="15"/>
    <n v="4"/>
    <s v="Other"/>
    <n v="1576"/>
    <n v="3"/>
    <x v="0"/>
    <n v="65"/>
    <n v="3"/>
    <x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  <x v="1"/>
    <x v="1"/>
    <s v="6-10 yrs"/>
    <x v="0"/>
    <s v="Very Dissatisfied"/>
    <n v="28404"/>
  </r>
  <r>
    <n v="34"/>
    <x v="1"/>
    <s v="Travel_Rarely"/>
    <n v="479"/>
    <x v="1"/>
    <n v="7"/>
    <n v="4"/>
    <s v="Medical"/>
    <n v="1577"/>
    <n v="1"/>
    <x v="1"/>
    <n v="35"/>
    <n v="3"/>
    <x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  <x v="2"/>
    <x v="1"/>
    <s v="0-2 yrs"/>
    <x v="0"/>
    <s v="Very Satisfied"/>
    <n v="35664"/>
  </r>
  <r>
    <n v="55"/>
    <x v="1"/>
    <s v="Travel_Rarely"/>
    <n v="685"/>
    <x v="0"/>
    <n v="26"/>
    <n v="5"/>
    <s v="Marketing"/>
    <n v="1578"/>
    <n v="3"/>
    <x v="1"/>
    <n v="60"/>
    <n v="2"/>
    <x v="4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x v="1"/>
    <x v="3"/>
    <s v="10+ yrs"/>
    <x v="1"/>
    <s v="Very Satisfied"/>
    <n v="235032"/>
  </r>
  <r>
    <n v="34"/>
    <x v="1"/>
    <s v="Travel_Rarely"/>
    <n v="1351"/>
    <x v="1"/>
    <n v="1"/>
    <n v="4"/>
    <s v="Life Sciences"/>
    <n v="1580"/>
    <n v="2"/>
    <x v="1"/>
    <n v="45"/>
    <n v="3"/>
    <x v="0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  <x v="2"/>
    <x v="0"/>
    <s v="0-2 yrs"/>
    <x v="0"/>
    <s v="Very Satisfied"/>
    <n v="65808"/>
  </r>
  <r>
    <n v="26"/>
    <x v="1"/>
    <s v="Travel_Rarely"/>
    <n v="474"/>
    <x v="1"/>
    <n v="3"/>
    <n v="3"/>
    <s v="Life Sciences"/>
    <n v="1581"/>
    <n v="1"/>
    <x v="0"/>
    <n v="89"/>
    <n v="3"/>
    <x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  <x v="2"/>
    <x v="1"/>
    <s v="0-2 yrs"/>
    <x v="1"/>
    <s v="Very Satisfied"/>
    <n v="24732"/>
  </r>
  <r>
    <n v="38"/>
    <x v="1"/>
    <s v="Travel_Rarely"/>
    <n v="1245"/>
    <x v="0"/>
    <n v="14"/>
    <n v="3"/>
    <s v="Life Sciences"/>
    <n v="1582"/>
    <n v="3"/>
    <x v="1"/>
    <n v="80"/>
    <n v="3"/>
    <x v="0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  <x v="0"/>
    <x v="2"/>
    <s v="6-10 yrs"/>
    <x v="0"/>
    <s v="Dissatisfied"/>
    <n v="119088"/>
  </r>
  <r>
    <n v="38"/>
    <x v="1"/>
    <s v="Travel_Rarely"/>
    <n v="437"/>
    <x v="0"/>
    <n v="16"/>
    <n v="3"/>
    <s v="Life Sciences"/>
    <n v="1583"/>
    <n v="2"/>
    <x v="0"/>
    <n v="90"/>
    <n v="3"/>
    <x v="0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  <x v="0"/>
    <x v="0"/>
    <s v="3-5 yrs"/>
    <x v="0"/>
    <s v="Dissatisfied"/>
    <n v="50376"/>
  </r>
  <r>
    <n v="36"/>
    <x v="1"/>
    <s v="Travel_Rarely"/>
    <n v="884"/>
    <x v="0"/>
    <n v="1"/>
    <n v="4"/>
    <s v="Life Sciences"/>
    <n v="1585"/>
    <n v="2"/>
    <x v="0"/>
    <n v="73"/>
    <n v="3"/>
    <x v="0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  <x v="0"/>
    <x v="2"/>
    <s v="0-2 yrs"/>
    <x v="0"/>
    <s v="Satisfied"/>
    <n v="81780"/>
  </r>
  <r>
    <n v="29"/>
    <x v="1"/>
    <s v="Travel_Rarely"/>
    <n v="1370"/>
    <x v="1"/>
    <n v="3"/>
    <n v="1"/>
    <s v="Medical"/>
    <n v="1586"/>
    <n v="2"/>
    <x v="1"/>
    <n v="87"/>
    <n v="3"/>
    <x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  <x v="2"/>
    <x v="0"/>
    <s v="6-10 yrs"/>
    <x v="0"/>
    <s v="Very Dissatisfied"/>
    <n v="56676"/>
  </r>
  <r>
    <n v="35"/>
    <x v="1"/>
    <s v="Travel_Rarely"/>
    <n v="670"/>
    <x v="1"/>
    <n v="10"/>
    <n v="4"/>
    <s v="Medical"/>
    <n v="1587"/>
    <n v="1"/>
    <x v="0"/>
    <n v="51"/>
    <n v="3"/>
    <x v="0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  <x v="2"/>
    <x v="2"/>
    <s v="3-5 yrs"/>
    <x v="0"/>
    <s v="Satisfied"/>
    <n v="73704"/>
  </r>
  <r>
    <n v="39"/>
    <x v="1"/>
    <s v="Travel_Rarely"/>
    <n v="1462"/>
    <x v="0"/>
    <n v="6"/>
    <n v="3"/>
    <s v="Medical"/>
    <n v="1588"/>
    <n v="4"/>
    <x v="1"/>
    <n v="38"/>
    <n v="4"/>
    <x v="2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  <x v="0"/>
    <x v="2"/>
    <s v="6-10 yrs"/>
    <x v="0"/>
    <s v="Satisfied"/>
    <n v="98844"/>
  </r>
  <r>
    <n v="29"/>
    <x v="1"/>
    <s v="Travel_Frequently"/>
    <n v="995"/>
    <x v="1"/>
    <n v="2"/>
    <n v="1"/>
    <s v="Life Sciences"/>
    <n v="1590"/>
    <n v="1"/>
    <x v="1"/>
    <n v="87"/>
    <n v="3"/>
    <x v="0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  <x v="2"/>
    <x v="2"/>
    <s v="6-10 yrs"/>
    <x v="0"/>
    <s v="Very Satisfied"/>
    <n v="106236"/>
  </r>
  <r>
    <n v="50"/>
    <x v="1"/>
    <s v="Travel_Rarely"/>
    <n v="264"/>
    <x v="0"/>
    <n v="9"/>
    <n v="3"/>
    <s v="Marketing"/>
    <n v="1591"/>
    <n v="3"/>
    <x v="1"/>
    <n v="59"/>
    <n v="3"/>
    <x v="4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x v="1"/>
    <x v="3"/>
    <s v="0-2 yrs"/>
    <x v="0"/>
    <s v="Satisfied"/>
    <n v="231972"/>
  </r>
  <r>
    <n v="23"/>
    <x v="1"/>
    <s v="Travel_Rarely"/>
    <n v="977"/>
    <x v="1"/>
    <n v="10"/>
    <n v="3"/>
    <s v="Technical Degree"/>
    <n v="1592"/>
    <n v="4"/>
    <x v="1"/>
    <n v="45"/>
    <n v="4"/>
    <x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  <x v="3"/>
    <x v="1"/>
    <s v="0-2 yrs"/>
    <x v="0"/>
    <s v="Satisfied"/>
    <n v="24876"/>
  </r>
  <r>
    <n v="36"/>
    <x v="1"/>
    <s v="Travel_Frequently"/>
    <n v="1302"/>
    <x v="1"/>
    <n v="6"/>
    <n v="4"/>
    <s v="Life Sciences"/>
    <n v="1594"/>
    <n v="1"/>
    <x v="1"/>
    <n v="80"/>
    <n v="4"/>
    <x v="0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  <x v="0"/>
    <x v="0"/>
    <s v="3-5 yrs"/>
    <x v="0"/>
    <s v="Very Dissatisfied"/>
    <n v="66744"/>
  </r>
  <r>
    <n v="42"/>
    <x v="1"/>
    <s v="Travel_Rarely"/>
    <n v="1059"/>
    <x v="1"/>
    <n v="9"/>
    <n v="2"/>
    <s v="Other"/>
    <n v="1595"/>
    <n v="4"/>
    <x v="1"/>
    <n v="93"/>
    <n v="2"/>
    <x v="4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  <x v="0"/>
    <x v="3"/>
    <s v="0-2 yrs"/>
    <x v="1"/>
    <s v="Very Satisfied"/>
    <n v="235356"/>
  </r>
  <r>
    <n v="35"/>
    <x v="1"/>
    <s v="Travel_Rarely"/>
    <n v="750"/>
    <x v="1"/>
    <n v="28"/>
    <n v="3"/>
    <s v="Life Sciences"/>
    <n v="1596"/>
    <n v="2"/>
    <x v="1"/>
    <n v="46"/>
    <n v="4"/>
    <x v="0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x v="2"/>
    <x v="0"/>
    <s v="6-10 yrs"/>
    <x v="0"/>
    <s v="Satisfied"/>
    <n v="40884"/>
  </r>
  <r>
    <n v="34"/>
    <x v="1"/>
    <s v="Travel_Frequently"/>
    <n v="653"/>
    <x v="1"/>
    <n v="10"/>
    <n v="4"/>
    <s v="Technical Degree"/>
    <n v="1597"/>
    <n v="4"/>
    <x v="1"/>
    <n v="92"/>
    <n v="2"/>
    <x v="0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  <x v="2"/>
    <x v="0"/>
    <s v="6-10 yrs"/>
    <x v="0"/>
    <s v="Satisfied"/>
    <n v="60756"/>
  </r>
  <r>
    <n v="40"/>
    <x v="1"/>
    <s v="Travel_Rarely"/>
    <n v="118"/>
    <x v="0"/>
    <n v="14"/>
    <n v="2"/>
    <s v="Life Sciences"/>
    <n v="1598"/>
    <n v="4"/>
    <x v="0"/>
    <n v="84"/>
    <n v="3"/>
    <x v="0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  <x v="0"/>
    <x v="0"/>
    <s v="3-5 yrs"/>
    <x v="0"/>
    <s v="Very Dissatisfied"/>
    <n v="55668"/>
  </r>
  <r>
    <n v="43"/>
    <x v="1"/>
    <s v="Travel_Rarely"/>
    <n v="990"/>
    <x v="1"/>
    <n v="27"/>
    <n v="3"/>
    <s v="Technical Degree"/>
    <n v="1599"/>
    <n v="4"/>
    <x v="1"/>
    <n v="87"/>
    <n v="4"/>
    <x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  <x v="0"/>
    <x v="0"/>
    <s v="6-10 yrs"/>
    <x v="0"/>
    <s v="Dissatisfied"/>
    <n v="58512"/>
  </r>
  <r>
    <n v="35"/>
    <x v="1"/>
    <s v="Travel_Rarely"/>
    <n v="1349"/>
    <x v="1"/>
    <n v="7"/>
    <n v="2"/>
    <s v="Life Sciences"/>
    <n v="1601"/>
    <n v="3"/>
    <x v="1"/>
    <n v="63"/>
    <n v="2"/>
    <x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  <x v="2"/>
    <x v="1"/>
    <s v="0-2 yrs"/>
    <x v="0"/>
    <s v="Very Satisfied"/>
    <n v="32280"/>
  </r>
  <r>
    <n v="46"/>
    <x v="1"/>
    <s v="Travel_Rarely"/>
    <n v="563"/>
    <x v="0"/>
    <n v="1"/>
    <n v="4"/>
    <s v="Life Sciences"/>
    <n v="1602"/>
    <n v="4"/>
    <x v="1"/>
    <n v="56"/>
    <n v="4"/>
    <x v="3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x v="1"/>
    <x v="3"/>
    <s v="10+ yrs"/>
    <x v="0"/>
    <s v="Very Dissatisfied"/>
    <n v="210804"/>
  </r>
  <r>
    <n v="28"/>
    <x v="0"/>
    <s v="Travel_Rarely"/>
    <n v="329"/>
    <x v="1"/>
    <n v="24"/>
    <n v="3"/>
    <s v="Medical"/>
    <n v="1604"/>
    <n v="3"/>
    <x v="1"/>
    <n v="51"/>
    <n v="3"/>
    <x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  <x v="2"/>
    <x v="1"/>
    <s v="0-2 yrs"/>
    <x v="0"/>
    <s v="Dissatisfied"/>
    <n v="28896"/>
  </r>
  <r>
    <n v="22"/>
    <x v="1"/>
    <s v="Non-Travel"/>
    <n v="457"/>
    <x v="1"/>
    <n v="26"/>
    <n v="2"/>
    <s v="Other"/>
    <n v="1605"/>
    <n v="2"/>
    <x v="0"/>
    <n v="85"/>
    <n v="2"/>
    <x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  <x v="3"/>
    <x v="1"/>
    <s v="3-5 yrs"/>
    <x v="0"/>
    <s v="Satisfied"/>
    <n v="33768"/>
  </r>
  <r>
    <n v="50"/>
    <x v="1"/>
    <s v="Travel_Frequently"/>
    <n v="1234"/>
    <x v="1"/>
    <n v="20"/>
    <n v="5"/>
    <s v="Medical"/>
    <n v="1606"/>
    <n v="2"/>
    <x v="1"/>
    <n v="41"/>
    <n v="3"/>
    <x v="3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x v="1"/>
    <x v="3"/>
    <s v="10+ yrs"/>
    <x v="0"/>
    <s v="Satisfied"/>
    <n v="134940"/>
  </r>
  <r>
    <n v="32"/>
    <x v="1"/>
    <s v="Travel_Rarely"/>
    <n v="634"/>
    <x v="1"/>
    <n v="5"/>
    <n v="4"/>
    <s v="Other"/>
    <n v="1607"/>
    <n v="2"/>
    <x v="0"/>
    <n v="35"/>
    <n v="4"/>
    <x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  <x v="2"/>
    <x v="0"/>
    <s v="3-5 yrs"/>
    <x v="0"/>
    <s v="Very Satisfied"/>
    <n v="39744"/>
  </r>
  <r>
    <n v="44"/>
    <x v="1"/>
    <s v="Travel_Rarely"/>
    <n v="1313"/>
    <x v="1"/>
    <n v="7"/>
    <n v="3"/>
    <s v="Medical"/>
    <n v="1608"/>
    <n v="2"/>
    <x v="0"/>
    <n v="31"/>
    <n v="3"/>
    <x v="4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x v="0"/>
    <x v="3"/>
    <s v="10+ yrs"/>
    <x v="0"/>
    <s v="Very Satisfied"/>
    <n v="228588"/>
  </r>
  <r>
    <n v="30"/>
    <x v="1"/>
    <s v="Travel_Rarely"/>
    <n v="241"/>
    <x v="1"/>
    <n v="7"/>
    <n v="3"/>
    <s v="Medical"/>
    <n v="1609"/>
    <n v="2"/>
    <x v="1"/>
    <n v="48"/>
    <n v="2"/>
    <x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  <x v="2"/>
    <x v="1"/>
    <s v="6-10 yrs"/>
    <x v="0"/>
    <s v="Dissatisfied"/>
    <n v="25692"/>
  </r>
  <r>
    <n v="45"/>
    <x v="1"/>
    <s v="Travel_Rarely"/>
    <n v="1015"/>
    <x v="1"/>
    <n v="5"/>
    <n v="5"/>
    <s v="Medical"/>
    <n v="1611"/>
    <n v="3"/>
    <x v="0"/>
    <n v="50"/>
    <n v="1"/>
    <x v="0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  <x v="0"/>
    <x v="0"/>
    <s v="6-10 yrs"/>
    <x v="0"/>
    <s v="Very Dissatisfied"/>
    <n v="69228"/>
  </r>
  <r>
    <n v="45"/>
    <x v="1"/>
    <s v="Non-Travel"/>
    <n v="336"/>
    <x v="0"/>
    <n v="26"/>
    <n v="3"/>
    <s v="Marketing"/>
    <n v="1612"/>
    <n v="1"/>
    <x v="1"/>
    <n v="52"/>
    <n v="2"/>
    <x v="0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x v="0"/>
    <x v="0"/>
    <s v="6-10 yrs"/>
    <x v="0"/>
    <s v="Very Dissatisfied"/>
    <n v="52620"/>
  </r>
  <r>
    <n v="31"/>
    <x v="1"/>
    <s v="Travel_Frequently"/>
    <n v="715"/>
    <x v="0"/>
    <n v="2"/>
    <n v="4"/>
    <s v="Other"/>
    <n v="1613"/>
    <n v="4"/>
    <x v="1"/>
    <n v="54"/>
    <n v="3"/>
    <x v="0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  <x v="2"/>
    <x v="0"/>
    <s v="3-5 yrs"/>
    <x v="0"/>
    <s v="Very Dissatisfied"/>
    <n v="63984"/>
  </r>
  <r>
    <n v="36"/>
    <x v="1"/>
    <s v="Travel_Rarely"/>
    <n v="559"/>
    <x v="1"/>
    <n v="12"/>
    <n v="4"/>
    <s v="Life Sciences"/>
    <n v="1614"/>
    <n v="3"/>
    <x v="0"/>
    <n v="76"/>
    <n v="3"/>
    <x v="0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  <x v="0"/>
    <x v="0"/>
    <s v="3-5 yrs"/>
    <x v="0"/>
    <s v="Satisfied"/>
    <n v="55956"/>
  </r>
  <r>
    <n v="34"/>
    <x v="1"/>
    <s v="Travel_Frequently"/>
    <n v="426"/>
    <x v="1"/>
    <n v="10"/>
    <n v="4"/>
    <s v="Life Sciences"/>
    <n v="1615"/>
    <n v="3"/>
    <x v="1"/>
    <n v="42"/>
    <n v="4"/>
    <x v="0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  <x v="2"/>
    <x v="0"/>
    <s v="6-10 yrs"/>
    <x v="0"/>
    <s v="Very Satisfied"/>
    <n v="56688"/>
  </r>
  <r>
    <n v="49"/>
    <x v="1"/>
    <s v="Travel_Rarely"/>
    <n v="722"/>
    <x v="1"/>
    <n v="25"/>
    <n v="4"/>
    <s v="Life Sciences"/>
    <n v="1617"/>
    <n v="3"/>
    <x v="0"/>
    <n v="84"/>
    <n v="3"/>
    <x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  <x v="1"/>
    <x v="0"/>
    <s v="6-10 yrs"/>
    <x v="0"/>
    <s v="Very Dissatisfied"/>
    <n v="38532"/>
  </r>
  <r>
    <n v="39"/>
    <x v="1"/>
    <s v="Travel_Rarely"/>
    <n v="1387"/>
    <x v="1"/>
    <n v="10"/>
    <n v="5"/>
    <s v="Medical"/>
    <n v="1618"/>
    <n v="2"/>
    <x v="1"/>
    <n v="76"/>
    <n v="3"/>
    <x v="0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  <x v="0"/>
    <x v="0"/>
    <s v="6-10 yrs"/>
    <x v="0"/>
    <s v="Very Dissatisfied"/>
    <n v="64524"/>
  </r>
  <r>
    <n v="27"/>
    <x v="1"/>
    <s v="Travel_Rarely"/>
    <n v="1302"/>
    <x v="1"/>
    <n v="19"/>
    <n v="3"/>
    <s v="Other"/>
    <n v="1619"/>
    <n v="4"/>
    <x v="1"/>
    <n v="67"/>
    <n v="2"/>
    <x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  <x v="2"/>
    <x v="0"/>
    <s v="6-10 yrs"/>
    <x v="0"/>
    <s v="Very Dissatisfied"/>
    <n v="48792"/>
  </r>
  <r>
    <n v="35"/>
    <x v="1"/>
    <s v="Travel_Rarely"/>
    <n v="819"/>
    <x v="1"/>
    <n v="18"/>
    <n v="5"/>
    <s v="Life Sciences"/>
    <n v="1621"/>
    <n v="2"/>
    <x v="1"/>
    <n v="48"/>
    <n v="4"/>
    <x v="0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x v="2"/>
    <x v="0"/>
    <s v="10+ yrs"/>
    <x v="0"/>
    <s v="Very Dissatisfied"/>
    <n v="62496"/>
  </r>
  <r>
    <n v="28"/>
    <x v="1"/>
    <s v="Travel_Rarely"/>
    <n v="580"/>
    <x v="1"/>
    <n v="27"/>
    <n v="3"/>
    <s v="Medical"/>
    <n v="1622"/>
    <n v="2"/>
    <x v="0"/>
    <n v="39"/>
    <n v="1"/>
    <x v="0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  <x v="2"/>
    <x v="0"/>
    <s v="3-5 yrs"/>
    <x v="1"/>
    <s v="Very Dissatisfied"/>
    <n v="58524"/>
  </r>
  <r>
    <n v="21"/>
    <x v="1"/>
    <s v="Travel_Rarely"/>
    <n v="546"/>
    <x v="1"/>
    <n v="5"/>
    <n v="1"/>
    <s v="Medical"/>
    <n v="1623"/>
    <n v="3"/>
    <x v="1"/>
    <n v="97"/>
    <n v="3"/>
    <x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  <x v="3"/>
    <x v="0"/>
    <s v="0-2 yrs"/>
    <x v="0"/>
    <s v="Very Satisfied"/>
    <n v="37404"/>
  </r>
  <r>
    <n v="18"/>
    <x v="0"/>
    <s v="Travel_Frequently"/>
    <n v="544"/>
    <x v="0"/>
    <n v="3"/>
    <n v="2"/>
    <s v="Medical"/>
    <n v="1624"/>
    <n v="2"/>
    <x v="0"/>
    <n v="70"/>
    <n v="3"/>
    <x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  <x v="3"/>
    <x v="1"/>
    <s v="0-2 yrs"/>
    <x v="0"/>
    <s v="Very Satisfied"/>
    <n v="18828"/>
  </r>
  <r>
    <n v="47"/>
    <x v="1"/>
    <s v="Travel_Rarely"/>
    <n v="1176"/>
    <x v="2"/>
    <n v="26"/>
    <n v="4"/>
    <s v="Life Sciences"/>
    <n v="1625"/>
    <n v="4"/>
    <x v="0"/>
    <n v="98"/>
    <n v="3"/>
    <x v="4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  <x v="1"/>
    <x v="3"/>
    <s v="3-5 yrs"/>
    <x v="0"/>
    <s v="Satisfied"/>
    <n v="235896"/>
  </r>
  <r>
    <n v="39"/>
    <x v="1"/>
    <s v="Travel_Rarely"/>
    <n v="170"/>
    <x v="1"/>
    <n v="3"/>
    <n v="2"/>
    <s v="Medical"/>
    <n v="1627"/>
    <n v="3"/>
    <x v="1"/>
    <n v="76"/>
    <n v="2"/>
    <x v="0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x v="0"/>
    <x v="0"/>
    <s v="6-10 yrs"/>
    <x v="0"/>
    <s v="Satisfied"/>
    <n v="36828"/>
  </r>
  <r>
    <n v="40"/>
    <x v="1"/>
    <s v="Travel_Rarely"/>
    <n v="884"/>
    <x v="1"/>
    <n v="15"/>
    <n v="3"/>
    <s v="Life Sciences"/>
    <n v="1628"/>
    <n v="1"/>
    <x v="0"/>
    <n v="80"/>
    <n v="2"/>
    <x v="2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x v="0"/>
    <x v="3"/>
    <s v="10+ yrs"/>
    <x v="0"/>
    <s v="Satisfied"/>
    <n v="125220"/>
  </r>
  <r>
    <n v="35"/>
    <x v="1"/>
    <s v="Non-Travel"/>
    <n v="208"/>
    <x v="1"/>
    <n v="8"/>
    <n v="4"/>
    <s v="Life Sciences"/>
    <n v="1630"/>
    <n v="3"/>
    <x v="0"/>
    <n v="52"/>
    <n v="3"/>
    <x v="0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x v="2"/>
    <x v="0"/>
    <s v="10+ yrs"/>
    <x v="0"/>
    <s v="Satisfied"/>
    <n v="49776"/>
  </r>
  <r>
    <n v="37"/>
    <x v="1"/>
    <s v="Travel_Rarely"/>
    <n v="671"/>
    <x v="1"/>
    <n v="19"/>
    <n v="3"/>
    <s v="Life Sciences"/>
    <n v="1631"/>
    <n v="3"/>
    <x v="1"/>
    <n v="85"/>
    <n v="3"/>
    <x v="0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  <x v="0"/>
    <x v="0"/>
    <s v="3-5 yrs"/>
    <x v="0"/>
    <s v="Satisfied"/>
    <n v="69216"/>
  </r>
  <r>
    <n v="39"/>
    <x v="1"/>
    <s v="Travel_Frequently"/>
    <n v="711"/>
    <x v="1"/>
    <n v="4"/>
    <n v="3"/>
    <s v="Medical"/>
    <n v="1633"/>
    <n v="1"/>
    <x v="0"/>
    <n v="81"/>
    <n v="3"/>
    <x v="0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  <x v="0"/>
    <x v="0"/>
    <s v="6-10 yrs"/>
    <x v="0"/>
    <s v="Satisfied"/>
    <n v="60504"/>
  </r>
  <r>
    <n v="45"/>
    <x v="1"/>
    <s v="Travel_Rarely"/>
    <n v="1329"/>
    <x v="1"/>
    <n v="2"/>
    <n v="2"/>
    <s v="Other"/>
    <n v="1635"/>
    <n v="4"/>
    <x v="0"/>
    <n v="59"/>
    <n v="2"/>
    <x v="0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x v="0"/>
    <x v="0"/>
    <s v="6-10 yrs"/>
    <x v="0"/>
    <s v="Very Satisfied"/>
    <n v="69240"/>
  </r>
  <r>
    <n v="38"/>
    <x v="1"/>
    <s v="Travel_Rarely"/>
    <n v="397"/>
    <x v="1"/>
    <n v="2"/>
    <n v="2"/>
    <s v="Medical"/>
    <n v="1638"/>
    <n v="4"/>
    <x v="0"/>
    <n v="54"/>
    <n v="2"/>
    <x v="2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  <x v="0"/>
    <x v="2"/>
    <s v="3-5 yrs"/>
    <x v="0"/>
    <s v="Satisfied"/>
    <n v="93072"/>
  </r>
  <r>
    <n v="35"/>
    <x v="0"/>
    <s v="Travel_Rarely"/>
    <n v="737"/>
    <x v="0"/>
    <n v="10"/>
    <n v="3"/>
    <s v="Medical"/>
    <n v="1639"/>
    <n v="4"/>
    <x v="1"/>
    <n v="55"/>
    <n v="2"/>
    <x v="2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x v="2"/>
    <x v="3"/>
    <s v="10+ yrs"/>
    <x v="0"/>
    <s v="Very Dissatisfied"/>
    <n v="123672"/>
  </r>
  <r>
    <n v="37"/>
    <x v="1"/>
    <s v="Travel_Rarely"/>
    <n v="1470"/>
    <x v="1"/>
    <n v="10"/>
    <n v="3"/>
    <s v="Medical"/>
    <n v="1640"/>
    <n v="2"/>
    <x v="0"/>
    <n v="71"/>
    <n v="3"/>
    <x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  <x v="0"/>
    <x v="0"/>
    <s v="6-10 yrs"/>
    <x v="0"/>
    <s v="Dissatisfied"/>
    <n v="47232"/>
  </r>
  <r>
    <n v="40"/>
    <x v="1"/>
    <s v="Travel_Rarely"/>
    <n v="448"/>
    <x v="1"/>
    <n v="16"/>
    <n v="3"/>
    <s v="Life Sciences"/>
    <n v="1641"/>
    <n v="3"/>
    <x v="0"/>
    <n v="84"/>
    <n v="3"/>
    <x v="2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  <x v="0"/>
    <x v="2"/>
    <s v="3-5 yrs"/>
    <x v="0"/>
    <s v="Very Satisfied"/>
    <n v="95340"/>
  </r>
  <r>
    <n v="44"/>
    <x v="1"/>
    <s v="Travel_Frequently"/>
    <n v="602"/>
    <x v="2"/>
    <n v="1"/>
    <n v="5"/>
    <s v="Human Resources"/>
    <n v="1642"/>
    <n v="1"/>
    <x v="1"/>
    <n v="37"/>
    <n v="3"/>
    <x v="0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x v="0"/>
    <x v="0"/>
    <s v="6-10 yrs"/>
    <x v="0"/>
    <s v="Very Satisfied"/>
    <n v="68916"/>
  </r>
  <r>
    <n v="48"/>
    <x v="1"/>
    <s v="Travel_Frequently"/>
    <n v="365"/>
    <x v="1"/>
    <n v="4"/>
    <n v="5"/>
    <s v="Medical"/>
    <n v="1644"/>
    <n v="3"/>
    <x v="1"/>
    <n v="89"/>
    <n v="2"/>
    <x v="3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  <x v="1"/>
    <x v="3"/>
    <s v="0-2 yrs"/>
    <x v="1"/>
    <s v="Very Satisfied"/>
    <n v="182424"/>
  </r>
  <r>
    <n v="35"/>
    <x v="0"/>
    <s v="Travel_Rarely"/>
    <n v="763"/>
    <x v="0"/>
    <n v="15"/>
    <n v="2"/>
    <s v="Medical"/>
    <n v="1645"/>
    <n v="1"/>
    <x v="1"/>
    <n v="59"/>
    <n v="1"/>
    <x v="0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  <x v="2"/>
    <x v="0"/>
    <s v="0-2 yrs"/>
    <x v="0"/>
    <s v="Very Satisfied"/>
    <n v="65280"/>
  </r>
  <r>
    <n v="24"/>
    <x v="1"/>
    <s v="Travel_Frequently"/>
    <n v="567"/>
    <x v="1"/>
    <n v="2"/>
    <n v="1"/>
    <s v="Technical Degree"/>
    <n v="1646"/>
    <n v="1"/>
    <x v="0"/>
    <n v="32"/>
    <n v="3"/>
    <x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  <x v="3"/>
    <x v="0"/>
    <s v="6-10 yrs"/>
    <x v="0"/>
    <s v="Very Satisfied"/>
    <n v="45120"/>
  </r>
  <r>
    <n v="27"/>
    <x v="1"/>
    <s v="Travel_Rarely"/>
    <n v="486"/>
    <x v="1"/>
    <n v="8"/>
    <n v="3"/>
    <s v="Medical"/>
    <n v="1647"/>
    <n v="2"/>
    <x v="0"/>
    <n v="86"/>
    <n v="4"/>
    <x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  <x v="2"/>
    <x v="0"/>
    <s v="3-5 yrs"/>
    <x v="0"/>
    <s v="Satisfied"/>
    <n v="42204"/>
  </r>
  <r>
    <n v="27"/>
    <x v="1"/>
    <s v="Travel_Frequently"/>
    <n v="591"/>
    <x v="1"/>
    <n v="2"/>
    <n v="3"/>
    <s v="Medical"/>
    <n v="1648"/>
    <n v="4"/>
    <x v="1"/>
    <n v="87"/>
    <n v="3"/>
    <x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  <x v="2"/>
    <x v="1"/>
    <s v="3-5 yrs"/>
    <x v="0"/>
    <s v="Very Satisfied"/>
    <n v="30960"/>
  </r>
  <r>
    <n v="40"/>
    <x v="0"/>
    <s v="Travel_Rarely"/>
    <n v="1329"/>
    <x v="1"/>
    <n v="7"/>
    <n v="3"/>
    <s v="Life Sciences"/>
    <n v="1649"/>
    <n v="1"/>
    <x v="1"/>
    <n v="73"/>
    <n v="3"/>
    <x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  <x v="0"/>
    <x v="1"/>
    <s v="3-5 yrs"/>
    <x v="0"/>
    <s v="Very Dissatisfied"/>
    <n v="25992"/>
  </r>
  <r>
    <n v="29"/>
    <x v="1"/>
    <s v="Travel_Rarely"/>
    <n v="469"/>
    <x v="0"/>
    <n v="10"/>
    <n v="3"/>
    <s v="Medical"/>
    <n v="1650"/>
    <n v="3"/>
    <x v="1"/>
    <n v="42"/>
    <n v="2"/>
    <x v="0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  <x v="2"/>
    <x v="0"/>
    <s v="3-5 yrs"/>
    <x v="0"/>
    <s v="Satisfied"/>
    <n v="70428"/>
  </r>
  <r>
    <n v="36"/>
    <x v="1"/>
    <s v="Travel_Rarely"/>
    <n v="711"/>
    <x v="1"/>
    <n v="5"/>
    <n v="4"/>
    <s v="Life Sciences"/>
    <n v="1651"/>
    <n v="2"/>
    <x v="0"/>
    <n v="42"/>
    <n v="3"/>
    <x v="2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  <x v="0"/>
    <x v="2"/>
    <s v="3-5 yrs"/>
    <x v="0"/>
    <s v="Very Dissatisfied"/>
    <n v="96096"/>
  </r>
  <r>
    <n v="25"/>
    <x v="1"/>
    <s v="Travel_Frequently"/>
    <n v="772"/>
    <x v="1"/>
    <n v="2"/>
    <n v="1"/>
    <s v="Life Sciences"/>
    <n v="1653"/>
    <n v="4"/>
    <x v="1"/>
    <n v="77"/>
    <n v="4"/>
    <x v="0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  <x v="3"/>
    <x v="0"/>
    <s v="6-10 yrs"/>
    <x v="0"/>
    <s v="Satisfied"/>
    <n v="62472"/>
  </r>
  <r>
    <n v="39"/>
    <x v="1"/>
    <s v="Travel_Rarely"/>
    <n v="492"/>
    <x v="1"/>
    <n v="12"/>
    <n v="3"/>
    <s v="Medical"/>
    <n v="1654"/>
    <n v="4"/>
    <x v="1"/>
    <n v="66"/>
    <n v="3"/>
    <x v="0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  <x v="0"/>
    <x v="0"/>
    <s v="3-5 yrs"/>
    <x v="1"/>
    <s v="Dissatisfied"/>
    <n v="63540"/>
  </r>
  <r>
    <n v="49"/>
    <x v="1"/>
    <s v="Travel_Rarely"/>
    <n v="301"/>
    <x v="1"/>
    <n v="22"/>
    <n v="4"/>
    <s v="Other"/>
    <n v="1655"/>
    <n v="1"/>
    <x v="0"/>
    <n v="72"/>
    <n v="3"/>
    <x v="3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  <x v="1"/>
    <x v="3"/>
    <s v="3-5 yrs"/>
    <x v="0"/>
    <s v="Dissatisfied"/>
    <n v="196956"/>
  </r>
  <r>
    <n v="50"/>
    <x v="1"/>
    <s v="Travel_Rarely"/>
    <n v="813"/>
    <x v="1"/>
    <n v="17"/>
    <n v="5"/>
    <s v="Life Sciences"/>
    <n v="1656"/>
    <n v="4"/>
    <x v="0"/>
    <n v="50"/>
    <n v="2"/>
    <x v="2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x v="1"/>
    <x v="3"/>
    <s v="10+ yrs"/>
    <x v="0"/>
    <s v="Very Dissatisfied"/>
    <n v="159228"/>
  </r>
  <r>
    <n v="20"/>
    <x v="1"/>
    <s v="Travel_Rarely"/>
    <n v="1141"/>
    <x v="0"/>
    <n v="2"/>
    <n v="3"/>
    <s v="Medical"/>
    <n v="1657"/>
    <n v="3"/>
    <x v="0"/>
    <n v="31"/>
    <n v="3"/>
    <x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  <x v="3"/>
    <x v="1"/>
    <s v="0-2 yrs"/>
    <x v="0"/>
    <s v="Satisfied"/>
    <n v="33396"/>
  </r>
  <r>
    <n v="34"/>
    <x v="1"/>
    <s v="Travel_Rarely"/>
    <n v="1130"/>
    <x v="1"/>
    <n v="3"/>
    <n v="3"/>
    <s v="Life Sciences"/>
    <n v="1658"/>
    <n v="4"/>
    <x v="0"/>
    <n v="66"/>
    <n v="3"/>
    <x v="0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x v="2"/>
    <x v="0"/>
    <s v="10+ yrs"/>
    <x v="0"/>
    <s v="Dissatisfied"/>
    <n v="65196"/>
  </r>
  <r>
    <n v="36"/>
    <x v="1"/>
    <s v="Travel_Rarely"/>
    <n v="311"/>
    <x v="1"/>
    <n v="7"/>
    <n v="3"/>
    <s v="Life Sciences"/>
    <n v="1659"/>
    <n v="1"/>
    <x v="1"/>
    <n v="77"/>
    <n v="3"/>
    <x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  <x v="0"/>
    <x v="1"/>
    <s v="3-5 yrs"/>
    <x v="0"/>
    <s v="Dissatisfied"/>
    <n v="24156"/>
  </r>
  <r>
    <n v="49"/>
    <x v="1"/>
    <s v="Travel_Rarely"/>
    <n v="465"/>
    <x v="1"/>
    <n v="6"/>
    <n v="1"/>
    <s v="Life Sciences"/>
    <n v="1661"/>
    <n v="3"/>
    <x v="0"/>
    <n v="41"/>
    <n v="2"/>
    <x v="3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x v="1"/>
    <x v="3"/>
    <s v="10+ yrs"/>
    <x v="0"/>
    <s v="Satisfied"/>
    <n v="167592"/>
  </r>
  <r>
    <n v="36"/>
    <x v="1"/>
    <s v="Non-Travel"/>
    <n v="894"/>
    <x v="1"/>
    <n v="1"/>
    <n v="4"/>
    <s v="Medical"/>
    <n v="1662"/>
    <n v="4"/>
    <x v="0"/>
    <n v="33"/>
    <n v="2"/>
    <x v="0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  <x v="0"/>
    <x v="0"/>
    <s v="3-5 yrs"/>
    <x v="0"/>
    <s v="Satisfied"/>
    <n v="52488"/>
  </r>
  <r>
    <n v="36"/>
    <x v="1"/>
    <s v="Travel_Rarely"/>
    <n v="1040"/>
    <x v="1"/>
    <n v="3"/>
    <n v="2"/>
    <s v="Life Sciences"/>
    <n v="1664"/>
    <n v="4"/>
    <x v="1"/>
    <n v="79"/>
    <n v="4"/>
    <x v="0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x v="0"/>
    <x v="2"/>
    <s v="3-5 yrs"/>
    <x v="1"/>
    <s v="Very Dissatisfied"/>
    <n v="82104"/>
  </r>
  <r>
    <n v="54"/>
    <x v="1"/>
    <s v="Travel_Rarely"/>
    <n v="584"/>
    <x v="1"/>
    <n v="22"/>
    <n v="5"/>
    <s v="Medical"/>
    <n v="1665"/>
    <n v="2"/>
    <x v="0"/>
    <n v="91"/>
    <n v="3"/>
    <x v="3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x v="1"/>
    <x v="3"/>
    <s v="6-10 yrs"/>
    <x v="1"/>
    <s v="Satisfied"/>
    <n v="209112"/>
  </r>
  <r>
    <n v="43"/>
    <x v="1"/>
    <s v="Travel_Rarely"/>
    <n v="1291"/>
    <x v="1"/>
    <n v="15"/>
    <n v="2"/>
    <s v="Life Sciences"/>
    <n v="1666"/>
    <n v="3"/>
    <x v="1"/>
    <n v="65"/>
    <n v="2"/>
    <x v="3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x v="0"/>
    <x v="3"/>
    <s v="10+ yrs"/>
    <x v="1"/>
    <s v="Satisfied"/>
    <n v="211236"/>
  </r>
  <r>
    <n v="35"/>
    <x v="0"/>
    <s v="Travel_Frequently"/>
    <n v="880"/>
    <x v="0"/>
    <n v="12"/>
    <n v="4"/>
    <s v="Other"/>
    <n v="1667"/>
    <n v="4"/>
    <x v="1"/>
    <n v="36"/>
    <n v="3"/>
    <x v="0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  <x v="2"/>
    <x v="0"/>
    <s v="10+ yrs"/>
    <x v="1"/>
    <s v="Very Satisfied"/>
    <n v="54972"/>
  </r>
  <r>
    <n v="38"/>
    <x v="1"/>
    <s v="Travel_Frequently"/>
    <n v="1189"/>
    <x v="1"/>
    <n v="1"/>
    <n v="3"/>
    <s v="Life Sciences"/>
    <n v="1668"/>
    <n v="4"/>
    <x v="1"/>
    <n v="90"/>
    <n v="3"/>
    <x v="0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x v="0"/>
    <x v="0"/>
    <s v="10+ yrs"/>
    <x v="0"/>
    <s v="Very Satisfied"/>
    <n v="56820"/>
  </r>
  <r>
    <n v="29"/>
    <x v="1"/>
    <s v="Travel_Rarely"/>
    <n v="991"/>
    <x v="0"/>
    <n v="5"/>
    <n v="3"/>
    <s v="Medical"/>
    <n v="1669"/>
    <n v="1"/>
    <x v="1"/>
    <n v="43"/>
    <n v="2"/>
    <x v="0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x v="2"/>
    <x v="0"/>
    <s v="6-10 yrs"/>
    <x v="0"/>
    <s v="Dissatisfied"/>
    <n v="50244"/>
  </r>
  <r>
    <n v="33"/>
    <x v="1"/>
    <s v="Travel_Rarely"/>
    <n v="392"/>
    <x v="0"/>
    <n v="2"/>
    <n v="4"/>
    <s v="Medical"/>
    <n v="1670"/>
    <n v="4"/>
    <x v="1"/>
    <n v="93"/>
    <n v="3"/>
    <x v="0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  <x v="2"/>
    <x v="0"/>
    <s v="6-10 yrs"/>
    <x v="0"/>
    <s v="Very Satisfied"/>
    <n v="66060"/>
  </r>
  <r>
    <n v="32"/>
    <x v="1"/>
    <s v="Travel_Rarely"/>
    <n v="977"/>
    <x v="1"/>
    <n v="2"/>
    <n v="3"/>
    <s v="Medical"/>
    <n v="1671"/>
    <n v="4"/>
    <x v="1"/>
    <n v="45"/>
    <n v="3"/>
    <x v="0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x v="2"/>
    <x v="0"/>
    <s v="6-10 yrs"/>
    <x v="0"/>
    <s v="Dissatisfied"/>
    <n v="65640"/>
  </r>
  <r>
    <n v="31"/>
    <x v="1"/>
    <s v="Travel_Rarely"/>
    <n v="1112"/>
    <x v="0"/>
    <n v="5"/>
    <n v="4"/>
    <s v="Life Sciences"/>
    <n v="1673"/>
    <n v="1"/>
    <x v="0"/>
    <n v="67"/>
    <n v="3"/>
    <x v="0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x v="2"/>
    <x v="0"/>
    <s v="6-10 yrs"/>
    <x v="0"/>
    <s v="Very Satisfied"/>
    <n v="65712"/>
  </r>
  <r>
    <n v="49"/>
    <x v="1"/>
    <s v="Travel_Rarely"/>
    <n v="464"/>
    <x v="1"/>
    <n v="16"/>
    <n v="3"/>
    <s v="Medical"/>
    <n v="1674"/>
    <n v="4"/>
    <x v="0"/>
    <n v="74"/>
    <n v="3"/>
    <x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x v="1"/>
    <x v="1"/>
    <s v="0-2 yrs"/>
    <x v="0"/>
    <s v="Very Dissatisfied"/>
    <n v="31044"/>
  </r>
  <r>
    <n v="38"/>
    <x v="1"/>
    <s v="Travel_Frequently"/>
    <n v="148"/>
    <x v="1"/>
    <n v="2"/>
    <n v="3"/>
    <s v="Medical"/>
    <n v="1675"/>
    <n v="4"/>
    <x v="0"/>
    <n v="42"/>
    <n v="2"/>
    <x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  <x v="0"/>
    <x v="1"/>
    <s v="3-5 yrs"/>
    <x v="1"/>
    <s v="Dissatisfied"/>
    <n v="29280"/>
  </r>
  <r>
    <n v="47"/>
    <x v="1"/>
    <s v="Travel_Rarely"/>
    <n v="1225"/>
    <x v="0"/>
    <n v="2"/>
    <n v="4"/>
    <s v="Life Sciences"/>
    <n v="1676"/>
    <n v="2"/>
    <x v="0"/>
    <n v="47"/>
    <n v="4"/>
    <x v="3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x v="1"/>
    <x v="3"/>
    <s v="3-5 yrs"/>
    <x v="0"/>
    <s v="Dissatisfied"/>
    <n v="191664"/>
  </r>
  <r>
    <n v="49"/>
    <x v="1"/>
    <s v="Travel_Rarely"/>
    <n v="809"/>
    <x v="1"/>
    <n v="1"/>
    <n v="3"/>
    <s v="Life Sciences"/>
    <n v="1677"/>
    <n v="3"/>
    <x v="1"/>
    <n v="36"/>
    <n v="3"/>
    <x v="3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  <x v="1"/>
    <x v="3"/>
    <s v="6-10 yrs"/>
    <x v="0"/>
    <s v="Satisfied"/>
    <n v="184548"/>
  </r>
  <r>
    <n v="41"/>
    <x v="1"/>
    <s v="Travel_Rarely"/>
    <n v="1206"/>
    <x v="0"/>
    <n v="23"/>
    <n v="2"/>
    <s v="Life Sciences"/>
    <n v="1678"/>
    <n v="4"/>
    <x v="1"/>
    <n v="80"/>
    <n v="3"/>
    <x v="2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  <x v="0"/>
    <x v="2"/>
    <s v="0-2 yrs"/>
    <x v="0"/>
    <s v="Satisfied"/>
    <n v="84984"/>
  </r>
  <r>
    <n v="20"/>
    <x v="1"/>
    <s v="Travel_Rarely"/>
    <n v="727"/>
    <x v="0"/>
    <n v="9"/>
    <n v="1"/>
    <s v="Life Sciences"/>
    <n v="1680"/>
    <n v="4"/>
    <x v="1"/>
    <n v="54"/>
    <n v="3"/>
    <x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  <x v="3"/>
    <x v="1"/>
    <s v="0-2 yrs"/>
    <x v="0"/>
    <s v="Very Dissatisfied"/>
    <n v="32736"/>
  </r>
  <r>
    <n v="33"/>
    <x v="1"/>
    <s v="Non-Travel"/>
    <n v="530"/>
    <x v="0"/>
    <n v="16"/>
    <n v="3"/>
    <s v="Life Sciences"/>
    <n v="1681"/>
    <n v="3"/>
    <x v="0"/>
    <n v="36"/>
    <n v="3"/>
    <x v="0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  <x v="2"/>
    <x v="0"/>
    <s v="6-10 yrs"/>
    <x v="1"/>
    <s v="Very Satisfied"/>
    <n v="64416"/>
  </r>
  <r>
    <n v="36"/>
    <x v="1"/>
    <s v="Travel_Rarely"/>
    <n v="1351"/>
    <x v="1"/>
    <n v="26"/>
    <n v="4"/>
    <s v="Life Sciences"/>
    <n v="1682"/>
    <n v="1"/>
    <x v="1"/>
    <n v="80"/>
    <n v="3"/>
    <x v="0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  <x v="0"/>
    <x v="0"/>
    <s v="3-5 yrs"/>
    <x v="0"/>
    <s v="Satisfied"/>
    <n v="64164"/>
  </r>
  <r>
    <n v="44"/>
    <x v="1"/>
    <s v="Travel_Rarely"/>
    <n v="528"/>
    <x v="2"/>
    <n v="1"/>
    <n v="3"/>
    <s v="Life Sciences"/>
    <n v="1683"/>
    <n v="3"/>
    <x v="0"/>
    <n v="44"/>
    <n v="3"/>
    <x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  <x v="0"/>
    <x v="0"/>
    <s v="0-2 yrs"/>
    <x v="0"/>
    <s v="Very Satisfied"/>
    <n v="38340"/>
  </r>
  <r>
    <n v="23"/>
    <x v="0"/>
    <s v="Travel_Rarely"/>
    <n v="1320"/>
    <x v="1"/>
    <n v="8"/>
    <n v="1"/>
    <s v="Medical"/>
    <n v="1684"/>
    <n v="4"/>
    <x v="1"/>
    <n v="93"/>
    <n v="2"/>
    <x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  <x v="3"/>
    <x v="0"/>
    <s v="3-5 yrs"/>
    <x v="0"/>
    <s v="Satisfied"/>
    <n v="47868"/>
  </r>
  <r>
    <n v="38"/>
    <x v="1"/>
    <s v="Travel_Rarely"/>
    <n v="1495"/>
    <x v="1"/>
    <n v="4"/>
    <n v="2"/>
    <s v="Medical"/>
    <n v="1687"/>
    <n v="4"/>
    <x v="0"/>
    <n v="87"/>
    <n v="3"/>
    <x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  <x v="0"/>
    <x v="0"/>
    <s v="0-2 yrs"/>
    <x v="0"/>
    <s v="Satisfied"/>
    <n v="39672"/>
  </r>
  <r>
    <n v="53"/>
    <x v="1"/>
    <s v="Travel_Rarely"/>
    <n v="1395"/>
    <x v="1"/>
    <n v="24"/>
    <n v="4"/>
    <s v="Medical"/>
    <n v="1689"/>
    <n v="2"/>
    <x v="1"/>
    <n v="48"/>
    <n v="4"/>
    <x v="2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  <x v="1"/>
    <x v="2"/>
    <s v="3-5 yrs"/>
    <x v="0"/>
    <s v="Very Satisfied"/>
    <n v="84060"/>
  </r>
  <r>
    <n v="48"/>
    <x v="0"/>
    <s v="Travel_Frequently"/>
    <n v="708"/>
    <x v="0"/>
    <n v="7"/>
    <n v="2"/>
    <s v="Medical"/>
    <n v="1691"/>
    <n v="4"/>
    <x v="0"/>
    <n v="95"/>
    <n v="3"/>
    <x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  <x v="1"/>
    <x v="1"/>
    <s v="6-10 yrs"/>
    <x v="0"/>
    <s v="Satisfied"/>
    <n v="31860"/>
  </r>
  <r>
    <n v="32"/>
    <x v="0"/>
    <s v="Travel_Rarely"/>
    <n v="1259"/>
    <x v="1"/>
    <n v="2"/>
    <n v="4"/>
    <s v="Life Sciences"/>
    <n v="1692"/>
    <n v="4"/>
    <x v="1"/>
    <n v="95"/>
    <n v="3"/>
    <x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  <x v="2"/>
    <x v="1"/>
    <s v="0-2 yrs"/>
    <x v="0"/>
    <s v="Dissatisfied"/>
    <n v="16716"/>
  </r>
  <r>
    <n v="26"/>
    <x v="1"/>
    <s v="Non-Travel"/>
    <n v="786"/>
    <x v="1"/>
    <n v="7"/>
    <n v="3"/>
    <s v="Medical"/>
    <n v="1693"/>
    <n v="4"/>
    <x v="1"/>
    <n v="76"/>
    <n v="3"/>
    <x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  <x v="2"/>
    <x v="1"/>
    <s v="6-10 yrs"/>
    <x v="1"/>
    <s v="Very Satisfied"/>
    <n v="30840"/>
  </r>
  <r>
    <n v="55"/>
    <x v="1"/>
    <s v="Travel_Rarely"/>
    <n v="1441"/>
    <x v="1"/>
    <n v="22"/>
    <n v="3"/>
    <s v="Technical Degree"/>
    <n v="1694"/>
    <n v="1"/>
    <x v="1"/>
    <n v="94"/>
    <n v="2"/>
    <x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  <x v="1"/>
    <x v="0"/>
    <s v="3-5 yrs"/>
    <x v="0"/>
    <s v="Dissatisfied"/>
    <n v="42444"/>
  </r>
  <r>
    <n v="34"/>
    <x v="1"/>
    <s v="Travel_Rarely"/>
    <n v="1157"/>
    <x v="1"/>
    <n v="5"/>
    <n v="2"/>
    <s v="Medical"/>
    <n v="1696"/>
    <n v="2"/>
    <x v="1"/>
    <n v="57"/>
    <n v="2"/>
    <x v="0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x v="2"/>
    <x v="0"/>
    <s v="10+ yrs"/>
    <x v="0"/>
    <s v="Very Satisfied"/>
    <n v="47832"/>
  </r>
  <r>
    <n v="60"/>
    <x v="1"/>
    <s v="Travel_Rarely"/>
    <n v="370"/>
    <x v="1"/>
    <n v="1"/>
    <n v="4"/>
    <s v="Medical"/>
    <n v="1697"/>
    <n v="3"/>
    <x v="1"/>
    <n v="92"/>
    <n v="1"/>
    <x v="2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x v="1"/>
    <x v="3"/>
    <s v="0-2 yrs"/>
    <x v="1"/>
    <s v="Very Satisfied"/>
    <n v="130596"/>
  </r>
  <r>
    <n v="33"/>
    <x v="1"/>
    <s v="Travel_Rarely"/>
    <n v="267"/>
    <x v="1"/>
    <n v="21"/>
    <n v="3"/>
    <s v="Medical"/>
    <n v="1698"/>
    <n v="2"/>
    <x v="1"/>
    <n v="79"/>
    <n v="4"/>
    <x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x v="2"/>
    <x v="1"/>
    <s v="10+ yrs"/>
    <x v="0"/>
    <s v="Dissatisfied"/>
    <n v="24336"/>
  </r>
  <r>
    <n v="37"/>
    <x v="1"/>
    <s v="Travel_Frequently"/>
    <n v="1278"/>
    <x v="0"/>
    <n v="1"/>
    <n v="4"/>
    <s v="Medical"/>
    <n v="1700"/>
    <n v="3"/>
    <x v="1"/>
    <n v="31"/>
    <n v="1"/>
    <x v="0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  <x v="0"/>
    <x v="2"/>
    <s v="6-10 yrs"/>
    <x v="0"/>
    <s v="Very Satisfied"/>
    <n v="114300"/>
  </r>
  <r>
    <n v="34"/>
    <x v="1"/>
    <s v="Travel_Rarely"/>
    <n v="678"/>
    <x v="1"/>
    <n v="19"/>
    <n v="3"/>
    <s v="Life Sciences"/>
    <n v="1701"/>
    <n v="2"/>
    <x v="0"/>
    <n v="35"/>
    <n v="2"/>
    <x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x v="2"/>
    <x v="1"/>
    <s v="6-10 yrs"/>
    <x v="0"/>
    <s v="Very Satisfied"/>
    <n v="35148"/>
  </r>
  <r>
    <n v="23"/>
    <x v="0"/>
    <s v="Travel_Rarely"/>
    <n v="427"/>
    <x v="0"/>
    <n v="7"/>
    <n v="3"/>
    <s v="Life Sciences"/>
    <n v="1702"/>
    <n v="3"/>
    <x v="1"/>
    <n v="99"/>
    <n v="3"/>
    <x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  <x v="3"/>
    <x v="1"/>
    <s v="3-5 yrs"/>
    <x v="1"/>
    <s v="Very Satisfied"/>
    <n v="27300"/>
  </r>
  <r>
    <n v="44"/>
    <x v="1"/>
    <s v="Travel_Rarely"/>
    <n v="921"/>
    <x v="1"/>
    <n v="2"/>
    <n v="3"/>
    <s v="Life Sciences"/>
    <n v="1703"/>
    <n v="3"/>
    <x v="0"/>
    <n v="96"/>
    <n v="4"/>
    <x v="2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  <x v="0"/>
    <x v="2"/>
    <s v="6-10 yrs"/>
    <x v="0"/>
    <s v="Very Satisfied"/>
    <n v="94548"/>
  </r>
  <r>
    <n v="35"/>
    <x v="1"/>
    <s v="Travel_Frequently"/>
    <n v="146"/>
    <x v="1"/>
    <n v="2"/>
    <n v="4"/>
    <s v="Medical"/>
    <n v="1704"/>
    <n v="1"/>
    <x v="1"/>
    <n v="79"/>
    <n v="2"/>
    <x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  <x v="2"/>
    <x v="0"/>
    <s v="3-5 yrs"/>
    <x v="0"/>
    <s v="Very Satisfied"/>
    <n v="59160"/>
  </r>
  <r>
    <n v="43"/>
    <x v="1"/>
    <s v="Travel_Rarely"/>
    <n v="1179"/>
    <x v="0"/>
    <n v="2"/>
    <n v="3"/>
    <s v="Medical"/>
    <n v="1706"/>
    <n v="4"/>
    <x v="1"/>
    <n v="73"/>
    <n v="3"/>
    <x v="0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  <x v="0"/>
    <x v="2"/>
    <s v="6-10 yrs"/>
    <x v="0"/>
    <s v="Very Satisfied"/>
    <n v="94164"/>
  </r>
  <r>
    <n v="24"/>
    <x v="1"/>
    <s v="Travel_Rarely"/>
    <n v="581"/>
    <x v="1"/>
    <n v="9"/>
    <n v="3"/>
    <s v="Medical"/>
    <n v="1707"/>
    <n v="3"/>
    <x v="1"/>
    <n v="62"/>
    <n v="4"/>
    <x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  <x v="3"/>
    <x v="0"/>
    <s v="3-5 yrs"/>
    <x v="0"/>
    <s v="Satisfied"/>
    <n v="52812"/>
  </r>
  <r>
    <n v="41"/>
    <x v="1"/>
    <s v="Travel_Rarely"/>
    <n v="918"/>
    <x v="0"/>
    <n v="6"/>
    <n v="3"/>
    <s v="Marketing"/>
    <n v="1708"/>
    <n v="4"/>
    <x v="1"/>
    <n v="35"/>
    <n v="3"/>
    <x v="2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  <x v="0"/>
    <x v="2"/>
    <s v="6-10 yrs"/>
    <x v="0"/>
    <s v="Satisfied"/>
    <n v="110892"/>
  </r>
  <r>
    <n v="29"/>
    <x v="1"/>
    <s v="Travel_Rarely"/>
    <n v="1082"/>
    <x v="1"/>
    <n v="9"/>
    <n v="4"/>
    <s v="Medical"/>
    <n v="1709"/>
    <n v="4"/>
    <x v="0"/>
    <n v="43"/>
    <n v="3"/>
    <x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  <x v="2"/>
    <x v="1"/>
    <s v="3-5 yrs"/>
    <x v="0"/>
    <s v="Satisfied"/>
    <n v="35688"/>
  </r>
  <r>
    <n v="36"/>
    <x v="1"/>
    <s v="Travel_Rarely"/>
    <n v="530"/>
    <x v="0"/>
    <n v="2"/>
    <n v="4"/>
    <s v="Life Sciences"/>
    <n v="1710"/>
    <n v="3"/>
    <x v="0"/>
    <n v="51"/>
    <n v="3"/>
    <x v="0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  <x v="0"/>
    <x v="0"/>
    <s v="10+ yrs"/>
    <x v="0"/>
    <s v="Very Satisfied"/>
    <n v="54024"/>
  </r>
  <r>
    <n v="45"/>
    <x v="1"/>
    <s v="Non-Travel"/>
    <n v="1238"/>
    <x v="1"/>
    <n v="1"/>
    <n v="1"/>
    <s v="Life Sciences"/>
    <n v="1712"/>
    <n v="3"/>
    <x v="1"/>
    <n v="74"/>
    <n v="2"/>
    <x v="2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x v="0"/>
    <x v="3"/>
    <s v="10+ yrs"/>
    <x v="1"/>
    <s v="Satisfied"/>
    <n v="128976"/>
  </r>
  <r>
    <n v="24"/>
    <x v="0"/>
    <s v="Travel_Rarely"/>
    <n v="240"/>
    <x v="2"/>
    <n v="22"/>
    <n v="1"/>
    <s v="Human Resources"/>
    <n v="1714"/>
    <n v="4"/>
    <x v="1"/>
    <n v="58"/>
    <n v="1"/>
    <x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  <x v="3"/>
    <x v="1"/>
    <s v="0-2 yrs"/>
    <x v="0"/>
    <s v="Satisfied"/>
    <n v="18660"/>
  </r>
  <r>
    <n v="47"/>
    <x v="0"/>
    <s v="Travel_Frequently"/>
    <n v="1093"/>
    <x v="0"/>
    <n v="9"/>
    <n v="3"/>
    <s v="Life Sciences"/>
    <n v="1716"/>
    <n v="3"/>
    <x v="1"/>
    <n v="82"/>
    <n v="1"/>
    <x v="3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x v="1"/>
    <x v="3"/>
    <s v="10+ yrs"/>
    <x v="0"/>
    <s v="Satisfied"/>
    <n v="155232"/>
  </r>
  <r>
    <n v="26"/>
    <x v="1"/>
    <s v="Travel_Rarely"/>
    <n v="390"/>
    <x v="1"/>
    <n v="17"/>
    <n v="4"/>
    <s v="Medical"/>
    <n v="1718"/>
    <n v="4"/>
    <x v="1"/>
    <n v="62"/>
    <n v="1"/>
    <x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  <x v="2"/>
    <x v="1"/>
    <s v="3-5 yrs"/>
    <x v="0"/>
    <s v="Satisfied"/>
    <n v="27660"/>
  </r>
  <r>
    <n v="45"/>
    <x v="1"/>
    <s v="Travel_Rarely"/>
    <n v="1005"/>
    <x v="1"/>
    <n v="28"/>
    <n v="2"/>
    <s v="Technical Degree"/>
    <n v="1719"/>
    <n v="4"/>
    <x v="0"/>
    <n v="48"/>
    <n v="2"/>
    <x v="3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x v="0"/>
    <x v="3"/>
    <s v="10+ yrs"/>
    <x v="0"/>
    <s v="Dissatisfied"/>
    <n v="200448"/>
  </r>
  <r>
    <n v="32"/>
    <x v="1"/>
    <s v="Travel_Frequently"/>
    <n v="585"/>
    <x v="1"/>
    <n v="10"/>
    <n v="3"/>
    <s v="Life Sciences"/>
    <n v="1720"/>
    <n v="1"/>
    <x v="1"/>
    <n v="56"/>
    <n v="3"/>
    <x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  <x v="2"/>
    <x v="0"/>
    <s v="3-5 yrs"/>
    <x v="0"/>
    <s v="Satisfied"/>
    <n v="41196"/>
  </r>
  <r>
    <n v="31"/>
    <x v="1"/>
    <s v="Travel_Rarely"/>
    <n v="741"/>
    <x v="1"/>
    <n v="2"/>
    <n v="4"/>
    <s v="Life Sciences"/>
    <n v="1721"/>
    <n v="2"/>
    <x v="1"/>
    <n v="69"/>
    <n v="3"/>
    <x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  <x v="2"/>
    <x v="0"/>
    <s v="3-5 yrs"/>
    <x v="0"/>
    <s v="Satisfied"/>
    <n v="41724"/>
  </r>
  <r>
    <n v="41"/>
    <x v="1"/>
    <s v="Non-Travel"/>
    <n v="552"/>
    <x v="2"/>
    <n v="4"/>
    <n v="3"/>
    <s v="Human Resources"/>
    <n v="1722"/>
    <n v="3"/>
    <x v="1"/>
    <n v="60"/>
    <n v="1"/>
    <x v="0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  <x v="0"/>
    <x v="2"/>
    <s v="3-5 yrs"/>
    <x v="0"/>
    <s v="Dissatisfied"/>
    <n v="77160"/>
  </r>
  <r>
    <n v="40"/>
    <x v="1"/>
    <s v="Travel_Rarely"/>
    <n v="369"/>
    <x v="1"/>
    <n v="8"/>
    <n v="2"/>
    <s v="Life Sciences"/>
    <n v="1724"/>
    <n v="2"/>
    <x v="0"/>
    <n v="92"/>
    <n v="3"/>
    <x v="0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  <x v="0"/>
    <x v="2"/>
    <s v="0-2 yrs"/>
    <x v="0"/>
    <s v="Very Dissatisfied"/>
    <n v="78192"/>
  </r>
  <r>
    <n v="24"/>
    <x v="1"/>
    <s v="Travel_Rarely"/>
    <n v="506"/>
    <x v="1"/>
    <n v="29"/>
    <n v="1"/>
    <s v="Medical"/>
    <n v="1725"/>
    <n v="2"/>
    <x v="1"/>
    <n v="91"/>
    <n v="3"/>
    <x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  <x v="3"/>
    <x v="0"/>
    <s v="6-10 yrs"/>
    <x v="0"/>
    <s v="Very Dissatisfied"/>
    <n v="46884"/>
  </r>
  <r>
    <n v="46"/>
    <x v="1"/>
    <s v="Travel_Rarely"/>
    <n v="717"/>
    <x v="1"/>
    <n v="13"/>
    <n v="4"/>
    <s v="Life Sciences"/>
    <n v="1727"/>
    <n v="3"/>
    <x v="1"/>
    <n v="34"/>
    <n v="3"/>
    <x v="0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  <x v="1"/>
    <x v="0"/>
    <s v="6-10 yrs"/>
    <x v="0"/>
    <s v="Dissatisfied"/>
    <n v="66744"/>
  </r>
  <r>
    <n v="35"/>
    <x v="1"/>
    <s v="Travel_Rarely"/>
    <n v="1370"/>
    <x v="1"/>
    <n v="27"/>
    <n v="4"/>
    <s v="Life Sciences"/>
    <n v="1728"/>
    <n v="4"/>
    <x v="1"/>
    <n v="49"/>
    <n v="3"/>
    <x v="0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  <x v="2"/>
    <x v="2"/>
    <s v="6-10 yrs"/>
    <x v="0"/>
    <s v="Satisfied"/>
    <n v="82596"/>
  </r>
  <r>
    <n v="30"/>
    <x v="1"/>
    <s v="Travel_Rarely"/>
    <n v="793"/>
    <x v="1"/>
    <n v="16"/>
    <n v="1"/>
    <s v="Life Sciences"/>
    <n v="1729"/>
    <n v="2"/>
    <x v="1"/>
    <n v="33"/>
    <n v="3"/>
    <x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  <x v="2"/>
    <x v="1"/>
    <s v="6-10 yrs"/>
    <x v="0"/>
    <s v="Very Satisfied"/>
    <n v="34344"/>
  </r>
  <r>
    <n v="47"/>
    <x v="1"/>
    <s v="Non-Travel"/>
    <n v="543"/>
    <x v="0"/>
    <n v="2"/>
    <n v="4"/>
    <s v="Marketing"/>
    <n v="1731"/>
    <n v="3"/>
    <x v="1"/>
    <n v="87"/>
    <n v="3"/>
    <x v="0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  <x v="1"/>
    <x v="0"/>
    <s v="0-2 yrs"/>
    <x v="0"/>
    <s v="Dissatisfied"/>
    <n v="59736"/>
  </r>
  <r>
    <n v="46"/>
    <x v="1"/>
    <s v="Travel_Rarely"/>
    <n v="1277"/>
    <x v="0"/>
    <n v="2"/>
    <n v="3"/>
    <s v="Life Sciences"/>
    <n v="1732"/>
    <n v="3"/>
    <x v="1"/>
    <n v="74"/>
    <n v="3"/>
    <x v="2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x v="1"/>
    <x v="3"/>
    <s v="6-10 yrs"/>
    <x v="0"/>
    <s v="Very Satisfied"/>
    <n v="124416"/>
  </r>
  <r>
    <n v="36"/>
    <x v="0"/>
    <s v="Travel_Rarely"/>
    <n v="1456"/>
    <x v="0"/>
    <n v="13"/>
    <n v="5"/>
    <s v="Marketing"/>
    <n v="1733"/>
    <n v="2"/>
    <x v="1"/>
    <n v="96"/>
    <n v="2"/>
    <x v="0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  <x v="0"/>
    <x v="2"/>
    <s v="0-2 yrs"/>
    <x v="0"/>
    <s v="Very Dissatisfied"/>
    <n v="73608"/>
  </r>
  <r>
    <n v="32"/>
    <x v="0"/>
    <s v="Travel_Rarely"/>
    <n v="964"/>
    <x v="0"/>
    <n v="1"/>
    <n v="2"/>
    <s v="Life Sciences"/>
    <n v="1734"/>
    <n v="1"/>
    <x v="1"/>
    <n v="34"/>
    <n v="1"/>
    <x v="0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  <x v="2"/>
    <x v="2"/>
    <s v="0-2 yrs"/>
    <x v="0"/>
    <s v="Dissatisfied"/>
    <n v="80820"/>
  </r>
  <r>
    <n v="23"/>
    <x v="1"/>
    <s v="Travel_Rarely"/>
    <n v="160"/>
    <x v="1"/>
    <n v="4"/>
    <n v="1"/>
    <s v="Medical"/>
    <n v="1735"/>
    <n v="3"/>
    <x v="0"/>
    <n v="51"/>
    <n v="3"/>
    <x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  <x v="3"/>
    <x v="0"/>
    <s v="3-5 yrs"/>
    <x v="0"/>
    <s v="Dissatisfied"/>
    <n v="39540"/>
  </r>
  <r>
    <n v="31"/>
    <x v="1"/>
    <s v="Travel_Frequently"/>
    <n v="163"/>
    <x v="1"/>
    <n v="24"/>
    <n v="1"/>
    <s v="Technical Degree"/>
    <n v="1736"/>
    <n v="4"/>
    <x v="0"/>
    <n v="30"/>
    <n v="3"/>
    <x v="0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  <x v="2"/>
    <x v="0"/>
    <s v="3-5 yrs"/>
    <x v="1"/>
    <s v="Very Satisfied"/>
    <n v="62856"/>
  </r>
  <r>
    <n v="39"/>
    <x v="1"/>
    <s v="Non-Travel"/>
    <n v="792"/>
    <x v="1"/>
    <n v="1"/>
    <n v="3"/>
    <s v="Life Sciences"/>
    <n v="1737"/>
    <n v="4"/>
    <x v="1"/>
    <n v="77"/>
    <n v="3"/>
    <x v="0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  <x v="0"/>
    <x v="2"/>
    <s v="6-10 yrs"/>
    <x v="0"/>
    <s v="Very Satisfied"/>
    <n v="77664"/>
  </r>
  <r>
    <n v="32"/>
    <x v="1"/>
    <s v="Travel_Rarely"/>
    <n v="371"/>
    <x v="0"/>
    <n v="19"/>
    <n v="3"/>
    <s v="Life Sciences"/>
    <n v="1739"/>
    <n v="4"/>
    <x v="1"/>
    <n v="80"/>
    <n v="1"/>
    <x v="2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  <x v="2"/>
    <x v="2"/>
    <s v="3-5 yrs"/>
    <x v="0"/>
    <s v="Satisfied"/>
    <n v="115320"/>
  </r>
  <r>
    <n v="40"/>
    <x v="1"/>
    <s v="Travel_Rarely"/>
    <n v="611"/>
    <x v="0"/>
    <n v="7"/>
    <n v="4"/>
    <s v="Medical"/>
    <n v="1740"/>
    <n v="2"/>
    <x v="1"/>
    <n v="88"/>
    <n v="3"/>
    <x v="4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x v="0"/>
    <x v="3"/>
    <s v="10+ yrs"/>
    <x v="0"/>
    <s v="Dissatisfied"/>
    <n v="237996"/>
  </r>
  <r>
    <n v="45"/>
    <x v="1"/>
    <s v="Travel_Rarely"/>
    <n v="176"/>
    <x v="2"/>
    <n v="4"/>
    <n v="3"/>
    <s v="Life Sciences"/>
    <n v="1744"/>
    <n v="3"/>
    <x v="0"/>
    <n v="56"/>
    <n v="1"/>
    <x v="2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  <x v="0"/>
    <x v="2"/>
    <s v="3-5 yrs"/>
    <x v="1"/>
    <s v="Satisfied"/>
    <n v="117072"/>
  </r>
  <r>
    <n v="30"/>
    <x v="1"/>
    <s v="Travel_Frequently"/>
    <n v="1312"/>
    <x v="1"/>
    <n v="2"/>
    <n v="4"/>
    <s v="Technical Degree"/>
    <n v="1745"/>
    <n v="4"/>
    <x v="0"/>
    <n v="78"/>
    <n v="2"/>
    <x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  <x v="2"/>
    <x v="0"/>
    <s v="6-10 yrs"/>
    <x v="0"/>
    <s v="Very Dissatisfied"/>
    <n v="59616"/>
  </r>
  <r>
    <n v="24"/>
    <x v="1"/>
    <s v="Travel_Frequently"/>
    <n v="897"/>
    <x v="2"/>
    <n v="10"/>
    <n v="3"/>
    <s v="Medical"/>
    <n v="1746"/>
    <n v="1"/>
    <x v="1"/>
    <n v="59"/>
    <n v="3"/>
    <x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  <x v="3"/>
    <x v="1"/>
    <s v="0-2 yrs"/>
    <x v="0"/>
    <s v="Very Satisfied"/>
    <n v="25740"/>
  </r>
  <r>
    <n v="30"/>
    <x v="0"/>
    <s v="Travel_Frequently"/>
    <n v="600"/>
    <x v="2"/>
    <n v="8"/>
    <n v="3"/>
    <s v="Human Resources"/>
    <n v="1747"/>
    <n v="3"/>
    <x v="0"/>
    <n v="66"/>
    <n v="2"/>
    <x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  <x v="2"/>
    <x v="1"/>
    <s v="3-5 yrs"/>
    <x v="0"/>
    <s v="Very Satisfied"/>
    <n v="26160"/>
  </r>
  <r>
    <n v="31"/>
    <x v="1"/>
    <s v="Travel_Rarely"/>
    <n v="1003"/>
    <x v="0"/>
    <n v="5"/>
    <n v="3"/>
    <s v="Technical Degree"/>
    <n v="1749"/>
    <n v="1"/>
    <x v="1"/>
    <n v="51"/>
    <n v="3"/>
    <x v="0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  <x v="2"/>
    <x v="2"/>
    <s v="3-5 yrs"/>
    <x v="0"/>
    <s v="Satisfied"/>
    <n v="100152"/>
  </r>
  <r>
    <n v="27"/>
    <x v="1"/>
    <s v="Travel_Rarely"/>
    <n v="1054"/>
    <x v="1"/>
    <n v="8"/>
    <n v="3"/>
    <s v="Medical"/>
    <n v="1751"/>
    <n v="3"/>
    <x v="0"/>
    <n v="67"/>
    <n v="3"/>
    <x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  <x v="2"/>
    <x v="0"/>
    <s v="6-10 yrs"/>
    <x v="0"/>
    <s v="Very Satisfied"/>
    <n v="41340"/>
  </r>
  <r>
    <n v="29"/>
    <x v="0"/>
    <s v="Travel_Rarely"/>
    <n v="428"/>
    <x v="0"/>
    <n v="9"/>
    <n v="3"/>
    <s v="Marketing"/>
    <n v="1752"/>
    <n v="2"/>
    <x v="0"/>
    <n v="52"/>
    <n v="1"/>
    <x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  <x v="2"/>
    <x v="1"/>
    <s v="0-2 yrs"/>
    <x v="0"/>
    <s v="Dissatisfied"/>
    <n v="33120"/>
  </r>
  <r>
    <n v="29"/>
    <x v="1"/>
    <s v="Travel_Frequently"/>
    <n v="461"/>
    <x v="1"/>
    <n v="1"/>
    <n v="3"/>
    <s v="Life Sciences"/>
    <n v="1753"/>
    <n v="4"/>
    <x v="1"/>
    <n v="70"/>
    <n v="4"/>
    <x v="0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  <x v="2"/>
    <x v="2"/>
    <s v="3-5 yrs"/>
    <x v="0"/>
    <s v="Satisfied"/>
    <n v="75528"/>
  </r>
  <r>
    <n v="30"/>
    <x v="1"/>
    <s v="Travel_Rarely"/>
    <n v="979"/>
    <x v="0"/>
    <n v="15"/>
    <n v="2"/>
    <s v="Marketing"/>
    <n v="1754"/>
    <n v="3"/>
    <x v="1"/>
    <n v="94"/>
    <n v="2"/>
    <x v="2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  <x v="2"/>
    <x v="2"/>
    <s v="6-10 yrs"/>
    <x v="0"/>
    <s v="Very Dissatisfied"/>
    <n v="85680"/>
  </r>
  <r>
    <n v="34"/>
    <x v="1"/>
    <s v="Travel_Rarely"/>
    <n v="181"/>
    <x v="1"/>
    <n v="2"/>
    <n v="4"/>
    <s v="Medical"/>
    <n v="1755"/>
    <n v="4"/>
    <x v="1"/>
    <n v="97"/>
    <n v="4"/>
    <x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  <x v="2"/>
    <x v="1"/>
    <s v="3-5 yrs"/>
    <x v="0"/>
    <s v="Very Satisfied"/>
    <n v="35184"/>
  </r>
  <r>
    <n v="33"/>
    <x v="1"/>
    <s v="Non-Travel"/>
    <n v="1283"/>
    <x v="0"/>
    <n v="2"/>
    <n v="3"/>
    <s v="Marketing"/>
    <n v="1756"/>
    <n v="4"/>
    <x v="0"/>
    <n v="62"/>
    <n v="3"/>
    <x v="0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  <x v="2"/>
    <x v="0"/>
    <s v="10+ yrs"/>
    <x v="0"/>
    <s v="Dissatisfied"/>
    <n v="61764"/>
  </r>
  <r>
    <n v="49"/>
    <x v="1"/>
    <s v="Travel_Rarely"/>
    <n v="1313"/>
    <x v="0"/>
    <n v="11"/>
    <n v="4"/>
    <s v="Marketing"/>
    <n v="1757"/>
    <n v="4"/>
    <x v="0"/>
    <n v="80"/>
    <n v="3"/>
    <x v="0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  <x v="1"/>
    <x v="0"/>
    <s v="3-5 yrs"/>
    <x v="0"/>
    <s v="Very Satisfied"/>
    <n v="54084"/>
  </r>
  <r>
    <n v="33"/>
    <x v="0"/>
    <s v="Travel_Rarely"/>
    <n v="211"/>
    <x v="0"/>
    <n v="16"/>
    <n v="3"/>
    <s v="Life Sciences"/>
    <n v="1758"/>
    <n v="1"/>
    <x v="0"/>
    <n v="74"/>
    <n v="3"/>
    <x v="2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  <x v="2"/>
    <x v="2"/>
    <s v="0-2 yrs"/>
    <x v="1"/>
    <s v="Very Dissatisfied"/>
    <n v="102768"/>
  </r>
  <r>
    <n v="38"/>
    <x v="1"/>
    <s v="Travel_Frequently"/>
    <n v="594"/>
    <x v="1"/>
    <n v="2"/>
    <n v="2"/>
    <s v="Medical"/>
    <n v="1760"/>
    <n v="3"/>
    <x v="0"/>
    <n v="75"/>
    <n v="2"/>
    <x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  <x v="0"/>
    <x v="1"/>
    <s v="6-10 yrs"/>
    <x v="0"/>
    <s v="Dissatisfied"/>
    <n v="29616"/>
  </r>
  <r>
    <n v="31"/>
    <x v="0"/>
    <s v="Travel_Rarely"/>
    <n v="1079"/>
    <x v="0"/>
    <n v="16"/>
    <n v="4"/>
    <s v="Marketing"/>
    <n v="1761"/>
    <n v="1"/>
    <x v="1"/>
    <n v="70"/>
    <n v="3"/>
    <x v="2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  <x v="2"/>
    <x v="2"/>
    <s v="0-2 yrs"/>
    <x v="0"/>
    <s v="Satisfied"/>
    <n v="97932"/>
  </r>
  <r>
    <n v="29"/>
    <x v="1"/>
    <s v="Travel_Rarely"/>
    <n v="590"/>
    <x v="1"/>
    <n v="4"/>
    <n v="3"/>
    <s v="Technical Degree"/>
    <n v="1762"/>
    <n v="4"/>
    <x v="0"/>
    <n v="91"/>
    <n v="2"/>
    <x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  <x v="2"/>
    <x v="1"/>
    <s v="0-2 yrs"/>
    <x v="0"/>
    <s v="Very Dissatisfied"/>
    <n v="25308"/>
  </r>
  <r>
    <n v="30"/>
    <x v="1"/>
    <s v="Travel_Rarely"/>
    <n v="305"/>
    <x v="1"/>
    <n v="16"/>
    <n v="3"/>
    <s v="Life Sciences"/>
    <n v="1763"/>
    <n v="3"/>
    <x v="1"/>
    <n v="58"/>
    <n v="4"/>
    <x v="0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  <x v="2"/>
    <x v="0"/>
    <s v="6-10 yrs"/>
    <x v="0"/>
    <s v="Satisfied"/>
    <n v="63528"/>
  </r>
  <r>
    <n v="32"/>
    <x v="1"/>
    <s v="Non-Travel"/>
    <n v="953"/>
    <x v="1"/>
    <n v="5"/>
    <n v="4"/>
    <s v="Technical Degree"/>
    <n v="1764"/>
    <n v="2"/>
    <x v="1"/>
    <n v="65"/>
    <n v="3"/>
    <x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  <x v="2"/>
    <x v="1"/>
    <s v="6-10 yrs"/>
    <x v="0"/>
    <s v="Dissatisfied"/>
    <n v="32616"/>
  </r>
  <r>
    <n v="38"/>
    <x v="1"/>
    <s v="Travel_Rarely"/>
    <n v="833"/>
    <x v="1"/>
    <n v="18"/>
    <n v="3"/>
    <s v="Medical"/>
    <n v="1766"/>
    <n v="2"/>
    <x v="1"/>
    <n v="60"/>
    <n v="1"/>
    <x v="0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  <x v="0"/>
    <x v="0"/>
    <s v="0-2 yrs"/>
    <x v="0"/>
    <s v="Very Satisfied"/>
    <n v="69732"/>
  </r>
  <r>
    <n v="43"/>
    <x v="0"/>
    <s v="Travel_Frequently"/>
    <n v="807"/>
    <x v="1"/>
    <n v="17"/>
    <n v="3"/>
    <s v="Technical Degree"/>
    <n v="1767"/>
    <n v="3"/>
    <x v="1"/>
    <n v="38"/>
    <n v="2"/>
    <x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  <x v="0"/>
    <x v="1"/>
    <s v="0-2 yrs"/>
    <x v="0"/>
    <s v="Satisfied"/>
    <n v="29244"/>
  </r>
  <r>
    <n v="42"/>
    <x v="1"/>
    <s v="Travel_Rarely"/>
    <n v="855"/>
    <x v="1"/>
    <n v="12"/>
    <n v="3"/>
    <s v="Medical"/>
    <n v="1768"/>
    <n v="2"/>
    <x v="1"/>
    <n v="57"/>
    <n v="3"/>
    <x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  <x v="0"/>
    <x v="1"/>
    <s v="3-5 yrs"/>
    <x v="1"/>
    <s v="Dissatisfied"/>
    <n v="33192"/>
  </r>
  <r>
    <n v="55"/>
    <x v="1"/>
    <s v="Travel_Rarely"/>
    <n v="478"/>
    <x v="1"/>
    <n v="2"/>
    <n v="3"/>
    <s v="Medical"/>
    <n v="1770"/>
    <n v="3"/>
    <x v="1"/>
    <n v="60"/>
    <n v="2"/>
    <x v="4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x v="1"/>
    <x v="3"/>
    <s v="0-2 yrs"/>
    <x v="0"/>
    <s v="Very Dissatisfied"/>
    <n v="228456"/>
  </r>
  <r>
    <n v="33"/>
    <x v="1"/>
    <s v="Non-Travel"/>
    <n v="775"/>
    <x v="1"/>
    <n v="4"/>
    <n v="3"/>
    <s v="Technical Degree"/>
    <n v="1771"/>
    <n v="4"/>
    <x v="1"/>
    <n v="90"/>
    <n v="3"/>
    <x v="0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  <x v="2"/>
    <x v="0"/>
    <s v="6-10 yrs"/>
    <x v="0"/>
    <s v="Dissatisfied"/>
    <n v="36660"/>
  </r>
  <r>
    <n v="41"/>
    <x v="1"/>
    <s v="Travel_Rarely"/>
    <n v="548"/>
    <x v="1"/>
    <n v="9"/>
    <n v="4"/>
    <s v="Life Sciences"/>
    <n v="1772"/>
    <n v="3"/>
    <x v="1"/>
    <n v="94"/>
    <n v="3"/>
    <x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  <x v="0"/>
    <x v="1"/>
    <s v="3-5 yrs"/>
    <x v="1"/>
    <s v="Very Dissatisfied"/>
    <n v="27468"/>
  </r>
  <r>
    <n v="34"/>
    <x v="1"/>
    <s v="Non-Travel"/>
    <n v="1375"/>
    <x v="0"/>
    <n v="10"/>
    <n v="3"/>
    <s v="Life Sciences"/>
    <n v="1774"/>
    <n v="4"/>
    <x v="1"/>
    <n v="87"/>
    <n v="3"/>
    <x v="0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x v="2"/>
    <x v="0"/>
    <s v="10+ yrs"/>
    <x v="0"/>
    <s v="Satisfied"/>
    <n v="48012"/>
  </r>
  <r>
    <n v="53"/>
    <x v="1"/>
    <s v="Non-Travel"/>
    <n v="661"/>
    <x v="1"/>
    <n v="1"/>
    <n v="4"/>
    <s v="Medical"/>
    <n v="1775"/>
    <n v="1"/>
    <x v="0"/>
    <n v="60"/>
    <n v="2"/>
    <x v="3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x v="1"/>
    <x v="3"/>
    <s v="3-5 yrs"/>
    <x v="1"/>
    <s v="Satisfied"/>
    <n v="155580"/>
  </r>
  <r>
    <n v="43"/>
    <x v="1"/>
    <s v="Travel_Rarely"/>
    <n v="244"/>
    <x v="2"/>
    <n v="2"/>
    <n v="3"/>
    <s v="Life Sciences"/>
    <n v="1778"/>
    <n v="2"/>
    <x v="1"/>
    <n v="97"/>
    <n v="3"/>
    <x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  <x v="0"/>
    <x v="0"/>
    <s v="6-10 yrs"/>
    <x v="0"/>
    <s v="Very Satisfied"/>
    <n v="42468"/>
  </r>
  <r>
    <n v="34"/>
    <x v="1"/>
    <s v="Travel_Rarely"/>
    <n v="511"/>
    <x v="0"/>
    <n v="3"/>
    <n v="2"/>
    <s v="Life Sciences"/>
    <n v="1779"/>
    <n v="4"/>
    <x v="0"/>
    <n v="32"/>
    <n v="1"/>
    <x v="0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  <x v="2"/>
    <x v="2"/>
    <s v="0-2 yrs"/>
    <x v="0"/>
    <s v="Very Satisfied"/>
    <n v="72348"/>
  </r>
  <r>
    <n v="21"/>
    <x v="0"/>
    <s v="Travel_Rarely"/>
    <n v="337"/>
    <x v="0"/>
    <n v="7"/>
    <n v="1"/>
    <s v="Marketing"/>
    <n v="1780"/>
    <n v="2"/>
    <x v="1"/>
    <n v="31"/>
    <n v="3"/>
    <x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  <x v="3"/>
    <x v="1"/>
    <s v="0-2 yrs"/>
    <x v="0"/>
    <s v="Dissatisfied"/>
    <n v="32148"/>
  </r>
  <r>
    <n v="38"/>
    <x v="1"/>
    <s v="Travel_Rarely"/>
    <n v="1153"/>
    <x v="1"/>
    <n v="6"/>
    <n v="2"/>
    <s v="Other"/>
    <n v="1782"/>
    <n v="4"/>
    <x v="0"/>
    <n v="40"/>
    <n v="2"/>
    <x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  <x v="0"/>
    <x v="0"/>
    <s v="3-5 yrs"/>
    <x v="0"/>
    <s v="Satisfied"/>
    <n v="44424"/>
  </r>
  <r>
    <n v="22"/>
    <x v="0"/>
    <s v="Travel_Rarely"/>
    <n v="1294"/>
    <x v="1"/>
    <n v="8"/>
    <n v="1"/>
    <s v="Medical"/>
    <n v="1783"/>
    <n v="3"/>
    <x v="0"/>
    <n v="79"/>
    <n v="3"/>
    <x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  <x v="3"/>
    <x v="1"/>
    <s v="0-2 yrs"/>
    <x v="0"/>
    <s v="Very Dissatisfied"/>
    <n v="28776"/>
  </r>
  <r>
    <n v="31"/>
    <x v="1"/>
    <s v="Travel_Rarely"/>
    <n v="196"/>
    <x v="0"/>
    <n v="29"/>
    <n v="4"/>
    <s v="Marketing"/>
    <n v="1784"/>
    <n v="1"/>
    <x v="0"/>
    <n v="91"/>
    <n v="2"/>
    <x v="0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x v="2"/>
    <x v="0"/>
    <s v="10+ yrs"/>
    <x v="0"/>
    <s v="Very Satisfied"/>
    <n v="65616"/>
  </r>
  <r>
    <n v="51"/>
    <x v="1"/>
    <s v="Travel_Rarely"/>
    <n v="942"/>
    <x v="1"/>
    <n v="3"/>
    <n v="3"/>
    <s v="Technical Degree"/>
    <n v="1786"/>
    <n v="1"/>
    <x v="0"/>
    <n v="53"/>
    <n v="3"/>
    <x v="2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x v="1"/>
    <x v="3"/>
    <s v="0-2 yrs"/>
    <x v="0"/>
    <s v="Satisfied"/>
    <n v="157392"/>
  </r>
  <r>
    <n v="37"/>
    <x v="1"/>
    <s v="Travel_Rarely"/>
    <n v="589"/>
    <x v="0"/>
    <n v="9"/>
    <n v="2"/>
    <s v="Marketing"/>
    <n v="1787"/>
    <n v="2"/>
    <x v="1"/>
    <n v="46"/>
    <n v="2"/>
    <x v="0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  <x v="0"/>
    <x v="0"/>
    <s v="3-5 yrs"/>
    <x v="0"/>
    <s v="Dissatisfied"/>
    <n v="50268"/>
  </r>
  <r>
    <n v="46"/>
    <x v="1"/>
    <s v="Travel_Rarely"/>
    <n v="734"/>
    <x v="1"/>
    <n v="2"/>
    <n v="4"/>
    <s v="Medical"/>
    <n v="1789"/>
    <n v="3"/>
    <x v="1"/>
    <n v="46"/>
    <n v="3"/>
    <x v="4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x v="1"/>
    <x v="3"/>
    <s v="0-2 yrs"/>
    <x v="0"/>
    <s v="Very Satisfied"/>
    <n v="231936"/>
  </r>
  <r>
    <n v="36"/>
    <x v="1"/>
    <s v="Travel_Rarely"/>
    <n v="1383"/>
    <x v="1"/>
    <n v="10"/>
    <n v="3"/>
    <s v="Life Sciences"/>
    <n v="1790"/>
    <n v="4"/>
    <x v="1"/>
    <n v="90"/>
    <n v="3"/>
    <x v="2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x v="0"/>
    <x v="2"/>
    <s v="10+ yrs"/>
    <x v="0"/>
    <s v="Very Dissatisfied"/>
    <n v="99852"/>
  </r>
  <r>
    <n v="44"/>
    <x v="0"/>
    <s v="Travel_Frequently"/>
    <n v="429"/>
    <x v="1"/>
    <n v="1"/>
    <n v="2"/>
    <s v="Medical"/>
    <n v="1792"/>
    <n v="3"/>
    <x v="1"/>
    <n v="99"/>
    <n v="3"/>
    <x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  <x v="0"/>
    <x v="1"/>
    <s v="3-5 yrs"/>
    <x v="0"/>
    <s v="Dissatisfied"/>
    <n v="28104"/>
  </r>
  <r>
    <n v="37"/>
    <x v="1"/>
    <s v="Travel_Rarely"/>
    <n v="1239"/>
    <x v="2"/>
    <n v="8"/>
    <n v="2"/>
    <s v="Other"/>
    <n v="1794"/>
    <n v="3"/>
    <x v="1"/>
    <n v="89"/>
    <n v="3"/>
    <x v="0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x v="0"/>
    <x v="0"/>
    <s v="6-10 yrs"/>
    <x v="0"/>
    <s v="Dissatisfied"/>
    <n v="48852"/>
  </r>
  <r>
    <n v="35"/>
    <x v="0"/>
    <s v="Travel_Rarely"/>
    <n v="303"/>
    <x v="0"/>
    <n v="27"/>
    <n v="3"/>
    <s v="Life Sciences"/>
    <n v="1797"/>
    <n v="3"/>
    <x v="1"/>
    <n v="84"/>
    <n v="3"/>
    <x v="0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  <x v="2"/>
    <x v="0"/>
    <s v="6-10 yrs"/>
    <x v="0"/>
    <s v="Very Satisfied"/>
    <n v="69756"/>
  </r>
  <r>
    <n v="33"/>
    <x v="1"/>
    <s v="Travel_Rarely"/>
    <n v="867"/>
    <x v="1"/>
    <n v="8"/>
    <n v="4"/>
    <s v="Life Sciences"/>
    <n v="1798"/>
    <n v="4"/>
    <x v="1"/>
    <n v="90"/>
    <n v="4"/>
    <x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  <x v="2"/>
    <x v="0"/>
    <s v="6-10 yrs"/>
    <x v="0"/>
    <s v="Very Dissatisfied"/>
    <n v="37716"/>
  </r>
  <r>
    <n v="28"/>
    <x v="1"/>
    <s v="Travel_Rarely"/>
    <n v="1181"/>
    <x v="1"/>
    <n v="1"/>
    <n v="3"/>
    <s v="Life Sciences"/>
    <n v="1799"/>
    <n v="3"/>
    <x v="1"/>
    <n v="82"/>
    <n v="3"/>
    <x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  <x v="2"/>
    <x v="1"/>
    <s v="3-5 yrs"/>
    <x v="0"/>
    <s v="Very Satisfied"/>
    <n v="24528"/>
  </r>
  <r>
    <n v="39"/>
    <x v="1"/>
    <s v="Travel_Rarely"/>
    <n v="1253"/>
    <x v="1"/>
    <n v="10"/>
    <n v="1"/>
    <s v="Medical"/>
    <n v="1800"/>
    <n v="3"/>
    <x v="1"/>
    <n v="65"/>
    <n v="3"/>
    <x v="2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  <x v="0"/>
    <x v="3"/>
    <s v="3-5 yrs"/>
    <x v="1"/>
    <s v="Satisfied"/>
    <n v="161568"/>
  </r>
  <r>
    <n v="46"/>
    <x v="1"/>
    <s v="Non-Travel"/>
    <n v="849"/>
    <x v="0"/>
    <n v="26"/>
    <n v="2"/>
    <s v="Life Sciences"/>
    <n v="1801"/>
    <n v="2"/>
    <x v="1"/>
    <n v="98"/>
    <n v="2"/>
    <x v="0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  <x v="1"/>
    <x v="2"/>
    <s v="0-2 yrs"/>
    <x v="0"/>
    <s v="Dissatisfied"/>
    <n v="95892"/>
  </r>
  <r>
    <n v="40"/>
    <x v="1"/>
    <s v="Travel_Rarely"/>
    <n v="616"/>
    <x v="1"/>
    <n v="2"/>
    <n v="2"/>
    <s v="Life Sciences"/>
    <n v="1802"/>
    <n v="3"/>
    <x v="0"/>
    <n v="99"/>
    <n v="3"/>
    <x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  <x v="0"/>
    <x v="0"/>
    <s v="3-5 yrs"/>
    <x v="0"/>
    <s v="Very Dissatisfied"/>
    <n v="40524"/>
  </r>
  <r>
    <n v="42"/>
    <x v="1"/>
    <s v="Travel_Rarely"/>
    <n v="1128"/>
    <x v="1"/>
    <n v="13"/>
    <n v="3"/>
    <s v="Medical"/>
    <n v="1803"/>
    <n v="2"/>
    <x v="1"/>
    <n v="95"/>
    <n v="4"/>
    <x v="0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  <x v="0"/>
    <x v="0"/>
    <s v="0-2 yrs"/>
    <x v="0"/>
    <s v="Very Dissatisfied"/>
    <n v="66456"/>
  </r>
  <r>
    <n v="35"/>
    <x v="1"/>
    <s v="Non-Travel"/>
    <n v="1180"/>
    <x v="1"/>
    <n v="2"/>
    <n v="2"/>
    <s v="Medical"/>
    <n v="1804"/>
    <n v="2"/>
    <x v="1"/>
    <n v="90"/>
    <n v="3"/>
    <x v="0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x v="2"/>
    <x v="0"/>
    <s v="6-10 yrs"/>
    <x v="0"/>
    <s v="Very Satisfied"/>
    <n v="69144"/>
  </r>
  <r>
    <n v="38"/>
    <x v="1"/>
    <s v="Non-Travel"/>
    <n v="1336"/>
    <x v="2"/>
    <n v="2"/>
    <n v="3"/>
    <s v="Human Resources"/>
    <n v="1805"/>
    <n v="1"/>
    <x v="1"/>
    <n v="100"/>
    <n v="3"/>
    <x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x v="0"/>
    <x v="1"/>
    <s v="10+ yrs"/>
    <x v="0"/>
    <s v="Dissatisfied"/>
    <n v="31104"/>
  </r>
  <r>
    <n v="34"/>
    <x v="0"/>
    <s v="Travel_Frequently"/>
    <n v="234"/>
    <x v="1"/>
    <n v="9"/>
    <n v="4"/>
    <s v="Life Sciences"/>
    <n v="1807"/>
    <n v="4"/>
    <x v="1"/>
    <n v="93"/>
    <n v="3"/>
    <x v="0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  <x v="2"/>
    <x v="0"/>
    <s v="6-10 yrs"/>
    <x v="0"/>
    <s v="Very Dissatisfied"/>
    <n v="64152"/>
  </r>
  <r>
    <n v="37"/>
    <x v="0"/>
    <s v="Travel_Rarely"/>
    <n v="370"/>
    <x v="1"/>
    <n v="10"/>
    <n v="4"/>
    <s v="Medical"/>
    <n v="1809"/>
    <n v="4"/>
    <x v="1"/>
    <n v="58"/>
    <n v="3"/>
    <x v="0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  <x v="0"/>
    <x v="0"/>
    <s v="6-10 yrs"/>
    <x v="0"/>
    <s v="Very Dissatisfied"/>
    <n v="50556"/>
  </r>
  <r>
    <n v="39"/>
    <x v="1"/>
    <s v="Travel_Frequently"/>
    <n v="766"/>
    <x v="0"/>
    <n v="20"/>
    <n v="3"/>
    <s v="Life Sciences"/>
    <n v="1812"/>
    <n v="3"/>
    <x v="1"/>
    <n v="83"/>
    <n v="3"/>
    <x v="0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  <x v="0"/>
    <x v="0"/>
    <s v="0-2 yrs"/>
    <x v="0"/>
    <s v="Very Satisfied"/>
    <n v="49524"/>
  </r>
  <r>
    <n v="43"/>
    <x v="1"/>
    <s v="Non-Travel"/>
    <n v="343"/>
    <x v="1"/>
    <n v="9"/>
    <n v="3"/>
    <s v="Life Sciences"/>
    <n v="1813"/>
    <n v="1"/>
    <x v="1"/>
    <n v="52"/>
    <n v="3"/>
    <x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  <x v="0"/>
    <x v="1"/>
    <s v="3-5 yrs"/>
    <x v="0"/>
    <s v="Satisfied"/>
    <n v="29256"/>
  </r>
  <r>
    <n v="41"/>
    <x v="1"/>
    <s v="Travel_Rarely"/>
    <n v="447"/>
    <x v="1"/>
    <n v="5"/>
    <n v="3"/>
    <s v="Life Sciences"/>
    <n v="1814"/>
    <n v="2"/>
    <x v="1"/>
    <n v="85"/>
    <n v="4"/>
    <x v="0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  <x v="0"/>
    <x v="2"/>
    <s v="3-5 yrs"/>
    <x v="0"/>
    <s v="Dissatisfied"/>
    <n v="82440"/>
  </r>
  <r>
    <n v="41"/>
    <x v="1"/>
    <s v="Travel_Rarely"/>
    <n v="796"/>
    <x v="0"/>
    <n v="4"/>
    <n v="1"/>
    <s v="Marketing"/>
    <n v="1815"/>
    <n v="3"/>
    <x v="0"/>
    <n v="81"/>
    <n v="3"/>
    <x v="2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x v="0"/>
    <x v="3"/>
    <s v="10+ yrs"/>
    <x v="0"/>
    <s v="Satisfied"/>
    <n v="125364"/>
  </r>
  <r>
    <n v="30"/>
    <x v="1"/>
    <s v="Travel_Rarely"/>
    <n v="1092"/>
    <x v="1"/>
    <n v="10"/>
    <n v="3"/>
    <s v="Medical"/>
    <n v="1816"/>
    <n v="1"/>
    <x v="0"/>
    <n v="64"/>
    <n v="3"/>
    <x v="2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  <x v="2"/>
    <x v="2"/>
    <s v="6-10 yrs"/>
    <x v="0"/>
    <s v="Satisfied"/>
    <n v="116004"/>
  </r>
  <r>
    <n v="26"/>
    <x v="0"/>
    <s v="Travel_Rarely"/>
    <n v="920"/>
    <x v="2"/>
    <n v="20"/>
    <n v="2"/>
    <s v="Medical"/>
    <n v="1818"/>
    <n v="4"/>
    <x v="0"/>
    <n v="69"/>
    <n v="3"/>
    <x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  <x v="2"/>
    <x v="1"/>
    <s v="3-5 yrs"/>
    <x v="0"/>
    <s v="Dissatisfied"/>
    <n v="25776"/>
  </r>
  <r>
    <n v="46"/>
    <x v="0"/>
    <s v="Travel_Rarely"/>
    <n v="261"/>
    <x v="1"/>
    <n v="21"/>
    <n v="2"/>
    <s v="Medical"/>
    <n v="1821"/>
    <n v="4"/>
    <x v="0"/>
    <n v="66"/>
    <n v="3"/>
    <x v="0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  <x v="1"/>
    <x v="2"/>
    <s v="6-10 yrs"/>
    <x v="1"/>
    <s v="Dissatisfied"/>
    <n v="107112"/>
  </r>
  <r>
    <n v="40"/>
    <x v="1"/>
    <s v="Travel_Rarely"/>
    <n v="1194"/>
    <x v="1"/>
    <n v="1"/>
    <n v="3"/>
    <s v="Life Sciences"/>
    <n v="1822"/>
    <n v="3"/>
    <x v="0"/>
    <n v="52"/>
    <n v="3"/>
    <x v="0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  <x v="0"/>
    <x v="2"/>
    <s v="3-5 yrs"/>
    <x v="0"/>
    <s v="Very Satisfied"/>
    <n v="78156"/>
  </r>
  <r>
    <n v="34"/>
    <x v="1"/>
    <s v="Travel_Rarely"/>
    <n v="810"/>
    <x v="0"/>
    <n v="8"/>
    <n v="2"/>
    <s v="Technical Degree"/>
    <n v="1823"/>
    <n v="2"/>
    <x v="1"/>
    <n v="92"/>
    <n v="4"/>
    <x v="0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x v="2"/>
    <x v="2"/>
    <s v="6-10 yrs"/>
    <x v="1"/>
    <s v="Satisfied"/>
    <n v="81588"/>
  </r>
  <r>
    <n v="58"/>
    <x v="1"/>
    <s v="Non-Travel"/>
    <n v="350"/>
    <x v="0"/>
    <n v="2"/>
    <n v="3"/>
    <s v="Medical"/>
    <n v="1824"/>
    <n v="2"/>
    <x v="1"/>
    <n v="52"/>
    <n v="3"/>
    <x v="3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x v="1"/>
    <x v="3"/>
    <s v="10+ yrs"/>
    <x v="1"/>
    <s v="Dissatisfied"/>
    <n v="195492"/>
  </r>
  <r>
    <n v="35"/>
    <x v="1"/>
    <s v="Travel_Rarely"/>
    <n v="185"/>
    <x v="1"/>
    <n v="23"/>
    <n v="4"/>
    <s v="Medical"/>
    <n v="1826"/>
    <n v="2"/>
    <x v="1"/>
    <n v="91"/>
    <n v="1"/>
    <x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  <x v="2"/>
    <x v="1"/>
    <s v="3-5 yrs"/>
    <x v="0"/>
    <s v="Satisfied"/>
    <n v="32460"/>
  </r>
  <r>
    <n v="47"/>
    <x v="1"/>
    <s v="Travel_Rarely"/>
    <n v="1001"/>
    <x v="1"/>
    <n v="4"/>
    <n v="3"/>
    <s v="Life Sciences"/>
    <n v="1827"/>
    <n v="3"/>
    <x v="0"/>
    <n v="92"/>
    <n v="2"/>
    <x v="2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x v="1"/>
    <x v="3"/>
    <s v="10+ yrs"/>
    <x v="0"/>
    <s v="Dissatisfied"/>
    <n v="123996"/>
  </r>
  <r>
    <n v="40"/>
    <x v="1"/>
    <s v="Travel_Rarely"/>
    <n v="750"/>
    <x v="1"/>
    <n v="12"/>
    <n v="3"/>
    <s v="Life Sciences"/>
    <n v="1829"/>
    <n v="2"/>
    <x v="0"/>
    <n v="47"/>
    <n v="3"/>
    <x v="0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x v="0"/>
    <x v="0"/>
    <s v="6-10 yrs"/>
    <x v="0"/>
    <s v="Very Dissatisfied"/>
    <n v="53376"/>
  </r>
  <r>
    <n v="54"/>
    <x v="1"/>
    <s v="Travel_Rarely"/>
    <n v="431"/>
    <x v="1"/>
    <n v="7"/>
    <n v="4"/>
    <s v="Medical"/>
    <n v="1830"/>
    <n v="4"/>
    <x v="0"/>
    <n v="68"/>
    <n v="3"/>
    <x v="0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  <x v="1"/>
    <x v="2"/>
    <s v="6-10 yrs"/>
    <x v="0"/>
    <s v="Very Satisfied"/>
    <n v="82248"/>
  </r>
  <r>
    <n v="31"/>
    <x v="1"/>
    <s v="Travel_Frequently"/>
    <n v="1125"/>
    <x v="0"/>
    <n v="7"/>
    <n v="4"/>
    <s v="Marketing"/>
    <n v="1833"/>
    <n v="1"/>
    <x v="0"/>
    <n v="68"/>
    <n v="3"/>
    <x v="2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  <x v="2"/>
    <x v="2"/>
    <s v="3-5 yrs"/>
    <x v="0"/>
    <s v="Very Dissatisfied"/>
    <n v="115644"/>
  </r>
  <r>
    <n v="28"/>
    <x v="1"/>
    <s v="Travel_Rarely"/>
    <n v="1217"/>
    <x v="1"/>
    <n v="1"/>
    <n v="3"/>
    <s v="Medical"/>
    <n v="1834"/>
    <n v="3"/>
    <x v="0"/>
    <n v="67"/>
    <n v="3"/>
    <x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  <x v="2"/>
    <x v="0"/>
    <s v="3-5 yrs"/>
    <x v="1"/>
    <s v="Very Dissatisfied"/>
    <n v="43092"/>
  </r>
  <r>
    <n v="38"/>
    <x v="1"/>
    <s v="Travel_Rarely"/>
    <n v="723"/>
    <x v="0"/>
    <n v="2"/>
    <n v="4"/>
    <s v="Marketing"/>
    <n v="1835"/>
    <n v="2"/>
    <x v="0"/>
    <n v="77"/>
    <n v="1"/>
    <x v="0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  <x v="0"/>
    <x v="0"/>
    <s v="3-5 yrs"/>
    <x v="1"/>
    <s v="Very Satisfied"/>
    <n v="64860"/>
  </r>
  <r>
    <n v="26"/>
    <x v="1"/>
    <s v="Travel_Rarely"/>
    <n v="572"/>
    <x v="0"/>
    <n v="10"/>
    <n v="3"/>
    <s v="Medical"/>
    <n v="1836"/>
    <n v="3"/>
    <x v="1"/>
    <n v="46"/>
    <n v="3"/>
    <x v="0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  <x v="2"/>
    <x v="0"/>
    <s v="3-5 yrs"/>
    <x v="0"/>
    <s v="Very Satisfied"/>
    <n v="56208"/>
  </r>
  <r>
    <n v="58"/>
    <x v="1"/>
    <s v="Travel_Frequently"/>
    <n v="1216"/>
    <x v="1"/>
    <n v="15"/>
    <n v="4"/>
    <s v="Life Sciences"/>
    <n v="1837"/>
    <n v="1"/>
    <x v="1"/>
    <n v="87"/>
    <n v="3"/>
    <x v="3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x v="1"/>
    <x v="3"/>
    <s v="0-2 yrs"/>
    <x v="0"/>
    <s v="Satisfied"/>
    <n v="189444"/>
  </r>
  <r>
    <n v="18"/>
    <x v="1"/>
    <s v="Non-Travel"/>
    <n v="1431"/>
    <x v="1"/>
    <n v="14"/>
    <n v="3"/>
    <s v="Medical"/>
    <n v="1839"/>
    <n v="2"/>
    <x v="0"/>
    <n v="33"/>
    <n v="3"/>
    <x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  <x v="3"/>
    <x v="1"/>
    <s v="0-2 yrs"/>
    <x v="0"/>
    <s v="Satisfied"/>
    <n v="18168"/>
  </r>
  <r>
    <n v="31"/>
    <x v="0"/>
    <s v="Travel_Rarely"/>
    <n v="359"/>
    <x v="2"/>
    <n v="18"/>
    <n v="5"/>
    <s v="Human Resources"/>
    <n v="1842"/>
    <n v="4"/>
    <x v="1"/>
    <n v="89"/>
    <n v="4"/>
    <x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  <x v="2"/>
    <x v="1"/>
    <s v="0-2 yrs"/>
    <x v="0"/>
    <s v="Very Dissatisfied"/>
    <n v="35472"/>
  </r>
  <r>
    <n v="29"/>
    <x v="0"/>
    <s v="Travel_Rarely"/>
    <n v="350"/>
    <x v="2"/>
    <n v="13"/>
    <n v="3"/>
    <s v="Human Resources"/>
    <n v="1844"/>
    <n v="1"/>
    <x v="1"/>
    <n v="56"/>
    <n v="2"/>
    <x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  <x v="2"/>
    <x v="1"/>
    <s v="0-2 yrs"/>
    <x v="0"/>
    <s v="Very Dissatisfied"/>
    <n v="28020"/>
  </r>
  <r>
    <n v="45"/>
    <x v="1"/>
    <s v="Non-Travel"/>
    <n v="589"/>
    <x v="0"/>
    <n v="2"/>
    <n v="4"/>
    <s v="Life Sciences"/>
    <n v="1845"/>
    <n v="3"/>
    <x v="0"/>
    <n v="67"/>
    <n v="3"/>
    <x v="0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  <x v="0"/>
    <x v="0"/>
    <s v="6-10 yrs"/>
    <x v="1"/>
    <s v="Satisfied"/>
    <n v="61848"/>
  </r>
  <r>
    <n v="36"/>
    <x v="1"/>
    <s v="Travel_Rarely"/>
    <n v="430"/>
    <x v="1"/>
    <n v="2"/>
    <n v="4"/>
    <s v="Other"/>
    <n v="1847"/>
    <n v="4"/>
    <x v="0"/>
    <n v="73"/>
    <n v="3"/>
    <x v="0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  <x v="0"/>
    <x v="2"/>
    <s v="0-2 yrs"/>
    <x v="1"/>
    <s v="Dissatisfied"/>
    <n v="83544"/>
  </r>
  <r>
    <n v="43"/>
    <x v="1"/>
    <s v="Travel_Frequently"/>
    <n v="1422"/>
    <x v="0"/>
    <n v="2"/>
    <n v="4"/>
    <s v="Life Sciences"/>
    <n v="1849"/>
    <n v="1"/>
    <x v="1"/>
    <n v="92"/>
    <n v="3"/>
    <x v="0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  <x v="0"/>
    <x v="0"/>
    <s v="6-10 yrs"/>
    <x v="1"/>
    <s v="Very Satisfied"/>
    <n v="68100"/>
  </r>
  <r>
    <n v="27"/>
    <x v="1"/>
    <s v="Travel_Frequently"/>
    <n v="1297"/>
    <x v="1"/>
    <n v="5"/>
    <n v="2"/>
    <s v="Life Sciences"/>
    <n v="1850"/>
    <n v="4"/>
    <x v="0"/>
    <n v="53"/>
    <n v="3"/>
    <x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  <x v="2"/>
    <x v="1"/>
    <s v="3-5 yrs"/>
    <x v="0"/>
    <s v="Very Satisfied"/>
    <n v="28548"/>
  </r>
  <r>
    <n v="29"/>
    <x v="1"/>
    <s v="Travel_Frequently"/>
    <n v="574"/>
    <x v="1"/>
    <n v="20"/>
    <n v="1"/>
    <s v="Medical"/>
    <n v="1852"/>
    <n v="4"/>
    <x v="1"/>
    <n v="40"/>
    <n v="3"/>
    <x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x v="2"/>
    <x v="0"/>
    <s v="10+ yrs"/>
    <x v="0"/>
    <s v="Very Satisfied"/>
    <n v="45744"/>
  </r>
  <r>
    <n v="32"/>
    <x v="1"/>
    <s v="Travel_Frequently"/>
    <n v="1318"/>
    <x v="0"/>
    <n v="10"/>
    <n v="4"/>
    <s v="Marketing"/>
    <n v="1853"/>
    <n v="4"/>
    <x v="1"/>
    <n v="79"/>
    <n v="3"/>
    <x v="0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  <x v="2"/>
    <x v="0"/>
    <s v="0-2 yrs"/>
    <x v="0"/>
    <s v="Very Satisfied"/>
    <n v="55776"/>
  </r>
  <r>
    <n v="42"/>
    <x v="1"/>
    <s v="Non-Travel"/>
    <n v="355"/>
    <x v="1"/>
    <n v="10"/>
    <n v="4"/>
    <s v="Technical Degree"/>
    <n v="1854"/>
    <n v="3"/>
    <x v="1"/>
    <n v="38"/>
    <n v="3"/>
    <x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  <x v="0"/>
    <x v="1"/>
    <s v="6-10 yrs"/>
    <x v="1"/>
    <s v="Satisfied"/>
    <n v="35232"/>
  </r>
  <r>
    <n v="47"/>
    <x v="1"/>
    <s v="Travel_Rarely"/>
    <n v="207"/>
    <x v="1"/>
    <n v="9"/>
    <n v="4"/>
    <s v="Life Sciences"/>
    <n v="1856"/>
    <n v="2"/>
    <x v="0"/>
    <n v="64"/>
    <n v="3"/>
    <x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  <x v="1"/>
    <x v="1"/>
    <s v="0-2 yrs"/>
    <x v="0"/>
    <s v="Satisfied"/>
    <n v="25260"/>
  </r>
  <r>
    <n v="46"/>
    <x v="1"/>
    <s v="Travel_Rarely"/>
    <n v="706"/>
    <x v="1"/>
    <n v="2"/>
    <n v="2"/>
    <s v="Life Sciences"/>
    <n v="1857"/>
    <n v="4"/>
    <x v="1"/>
    <n v="82"/>
    <n v="3"/>
    <x v="2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x v="1"/>
    <x v="2"/>
    <s v="6-10 yrs"/>
    <x v="0"/>
    <s v="Very Satisfied"/>
    <n v="102936"/>
  </r>
  <r>
    <n v="28"/>
    <x v="1"/>
    <s v="Non-Travel"/>
    <n v="280"/>
    <x v="2"/>
    <n v="1"/>
    <n v="2"/>
    <s v="Life Sciences"/>
    <n v="1858"/>
    <n v="3"/>
    <x v="1"/>
    <n v="43"/>
    <n v="3"/>
    <x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  <x v="2"/>
    <x v="1"/>
    <s v="3-5 yrs"/>
    <x v="0"/>
    <s v="Very Satisfied"/>
    <n v="32472"/>
  </r>
  <r>
    <n v="29"/>
    <x v="1"/>
    <s v="Travel_Rarely"/>
    <n v="726"/>
    <x v="1"/>
    <n v="29"/>
    <n v="1"/>
    <s v="Life Sciences"/>
    <n v="1859"/>
    <n v="4"/>
    <x v="1"/>
    <n v="93"/>
    <n v="1"/>
    <x v="0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x v="2"/>
    <x v="2"/>
    <s v="6-10 yrs"/>
    <x v="0"/>
    <s v="Satisfied"/>
    <n v="76608"/>
  </r>
  <r>
    <n v="42"/>
    <x v="1"/>
    <s v="Travel_Rarely"/>
    <n v="1142"/>
    <x v="1"/>
    <n v="8"/>
    <n v="3"/>
    <s v="Life Sciences"/>
    <n v="1860"/>
    <n v="4"/>
    <x v="1"/>
    <n v="81"/>
    <n v="3"/>
    <x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  <x v="0"/>
    <x v="0"/>
    <s v="0-2 yrs"/>
    <x v="0"/>
    <s v="Satisfied"/>
    <n v="47616"/>
  </r>
  <r>
    <n v="32"/>
    <x v="0"/>
    <s v="Travel_Rarely"/>
    <n v="414"/>
    <x v="0"/>
    <n v="2"/>
    <n v="4"/>
    <s v="Marketing"/>
    <n v="1862"/>
    <n v="3"/>
    <x v="1"/>
    <n v="82"/>
    <n v="2"/>
    <x v="0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  <x v="2"/>
    <x v="2"/>
    <s v="0-2 yrs"/>
    <x v="0"/>
    <s v="Dissatisfied"/>
    <n v="118884"/>
  </r>
  <r>
    <n v="46"/>
    <x v="1"/>
    <s v="Travel_Rarely"/>
    <n v="1319"/>
    <x v="0"/>
    <n v="3"/>
    <n v="3"/>
    <s v="Technical Degree"/>
    <n v="1863"/>
    <n v="1"/>
    <x v="0"/>
    <n v="45"/>
    <n v="4"/>
    <x v="3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x v="1"/>
    <x v="3"/>
    <s v="10+ yrs"/>
    <x v="0"/>
    <s v="Very Dissatisfied"/>
    <n v="158700"/>
  </r>
  <r>
    <n v="27"/>
    <x v="1"/>
    <s v="Travel_Rarely"/>
    <n v="728"/>
    <x v="0"/>
    <n v="23"/>
    <n v="1"/>
    <s v="Medical"/>
    <n v="1864"/>
    <n v="2"/>
    <x v="0"/>
    <n v="36"/>
    <n v="2"/>
    <x v="0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  <x v="2"/>
    <x v="0"/>
    <s v="6-10 yrs"/>
    <x v="1"/>
    <s v="Satisfied"/>
    <n v="42480"/>
  </r>
  <r>
    <n v="29"/>
    <x v="1"/>
    <s v="Travel_Rarely"/>
    <n v="352"/>
    <x v="2"/>
    <n v="6"/>
    <n v="1"/>
    <s v="Medical"/>
    <n v="1865"/>
    <n v="4"/>
    <x v="1"/>
    <n v="87"/>
    <n v="2"/>
    <x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  <x v="2"/>
    <x v="1"/>
    <s v="0-2 yrs"/>
    <x v="0"/>
    <s v="Dissatisfied"/>
    <n v="33648"/>
  </r>
  <r>
    <n v="43"/>
    <x v="1"/>
    <s v="Travel_Rarely"/>
    <n v="823"/>
    <x v="1"/>
    <n v="6"/>
    <n v="3"/>
    <s v="Medical"/>
    <n v="1866"/>
    <n v="1"/>
    <x v="0"/>
    <n v="81"/>
    <n v="2"/>
    <x v="4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x v="0"/>
    <x v="3"/>
    <s v="10+ yrs"/>
    <x v="0"/>
    <s v="Satisfied"/>
    <n v="232704"/>
  </r>
  <r>
    <n v="48"/>
    <x v="1"/>
    <s v="Travel_Rarely"/>
    <n v="1224"/>
    <x v="1"/>
    <n v="10"/>
    <n v="3"/>
    <s v="Life Sciences"/>
    <n v="1867"/>
    <n v="4"/>
    <x v="1"/>
    <n v="91"/>
    <n v="2"/>
    <x v="4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x v="1"/>
    <x v="3"/>
    <s v="10+ yrs"/>
    <x v="0"/>
    <s v="Dissatisfied"/>
    <n v="235980"/>
  </r>
  <r>
    <n v="29"/>
    <x v="0"/>
    <s v="Travel_Frequently"/>
    <n v="459"/>
    <x v="1"/>
    <n v="24"/>
    <n v="2"/>
    <s v="Life Sciences"/>
    <n v="1868"/>
    <n v="4"/>
    <x v="1"/>
    <n v="73"/>
    <n v="2"/>
    <x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  <x v="2"/>
    <x v="1"/>
    <s v="0-2 yrs"/>
    <x v="1"/>
    <s v="Very Satisfied"/>
    <n v="29268"/>
  </r>
  <r>
    <n v="46"/>
    <x v="0"/>
    <s v="Travel_Rarely"/>
    <n v="1254"/>
    <x v="0"/>
    <n v="10"/>
    <n v="3"/>
    <s v="Life Sciences"/>
    <n v="1869"/>
    <n v="3"/>
    <x v="0"/>
    <n v="64"/>
    <n v="3"/>
    <x v="2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  <x v="1"/>
    <x v="2"/>
    <s v="6-10 yrs"/>
    <x v="1"/>
    <s v="Dissatisfied"/>
    <n v="87768"/>
  </r>
  <r>
    <n v="27"/>
    <x v="1"/>
    <s v="Travel_Frequently"/>
    <n v="1131"/>
    <x v="1"/>
    <n v="15"/>
    <n v="3"/>
    <s v="Life Sciences"/>
    <n v="1870"/>
    <n v="4"/>
    <x v="0"/>
    <n v="77"/>
    <n v="2"/>
    <x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  <x v="2"/>
    <x v="0"/>
    <s v="6-10 yrs"/>
    <x v="0"/>
    <s v="Very Dissatisfied"/>
    <n v="57288"/>
  </r>
  <r>
    <n v="39"/>
    <x v="1"/>
    <s v="Travel_Rarely"/>
    <n v="835"/>
    <x v="1"/>
    <n v="19"/>
    <n v="4"/>
    <s v="Other"/>
    <n v="1871"/>
    <n v="4"/>
    <x v="1"/>
    <n v="41"/>
    <n v="3"/>
    <x v="0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  <x v="0"/>
    <x v="0"/>
    <s v="0-2 yrs"/>
    <x v="0"/>
    <s v="Very Satisfied"/>
    <n v="46824"/>
  </r>
  <r>
    <n v="55"/>
    <x v="1"/>
    <s v="Travel_Rarely"/>
    <n v="836"/>
    <x v="1"/>
    <n v="2"/>
    <n v="4"/>
    <s v="Technical Degree"/>
    <n v="1873"/>
    <n v="2"/>
    <x v="1"/>
    <n v="98"/>
    <n v="2"/>
    <x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  <x v="1"/>
    <x v="1"/>
    <s v="3-5 yrs"/>
    <x v="1"/>
    <s v="Very Satisfied"/>
    <n v="31944"/>
  </r>
  <r>
    <n v="28"/>
    <x v="1"/>
    <s v="Travel_Rarely"/>
    <n v="1172"/>
    <x v="0"/>
    <n v="3"/>
    <n v="3"/>
    <s v="Medical"/>
    <n v="1875"/>
    <n v="2"/>
    <x v="0"/>
    <n v="78"/>
    <n v="3"/>
    <x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  <x v="2"/>
    <x v="1"/>
    <s v="0-2 yrs"/>
    <x v="0"/>
    <s v="Dissatisfied"/>
    <n v="34272"/>
  </r>
  <r>
    <n v="30"/>
    <x v="0"/>
    <s v="Travel_Rarely"/>
    <n v="945"/>
    <x v="0"/>
    <n v="9"/>
    <n v="3"/>
    <s v="Medical"/>
    <n v="1876"/>
    <n v="2"/>
    <x v="1"/>
    <n v="89"/>
    <n v="3"/>
    <x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  <x v="2"/>
    <x v="1"/>
    <s v="0-2 yrs"/>
    <x v="0"/>
    <s v="Very Satisfied"/>
    <n v="12972"/>
  </r>
  <r>
    <n v="22"/>
    <x v="0"/>
    <s v="Travel_Rarely"/>
    <n v="391"/>
    <x v="1"/>
    <n v="7"/>
    <n v="1"/>
    <s v="Life Sciences"/>
    <n v="1878"/>
    <n v="4"/>
    <x v="1"/>
    <n v="75"/>
    <n v="3"/>
    <x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  <x v="3"/>
    <x v="1"/>
    <s v="0-2 yrs"/>
    <x v="1"/>
    <s v="Dissatisfied"/>
    <n v="29664"/>
  </r>
  <r>
    <n v="36"/>
    <x v="1"/>
    <s v="Travel_Rarely"/>
    <n v="1266"/>
    <x v="0"/>
    <n v="10"/>
    <n v="4"/>
    <s v="Technical Degree"/>
    <n v="1880"/>
    <n v="2"/>
    <x v="0"/>
    <n v="63"/>
    <n v="2"/>
    <x v="0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  <x v="0"/>
    <x v="0"/>
    <s v="6-10 yrs"/>
    <x v="0"/>
    <s v="Satisfied"/>
    <n v="68076"/>
  </r>
  <r>
    <n v="31"/>
    <x v="1"/>
    <s v="Travel_Rarely"/>
    <n v="311"/>
    <x v="1"/>
    <n v="20"/>
    <n v="3"/>
    <s v="Life Sciences"/>
    <n v="1881"/>
    <n v="2"/>
    <x v="1"/>
    <n v="89"/>
    <n v="3"/>
    <x v="0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x v="2"/>
    <x v="0"/>
    <s v="6-10 yrs"/>
    <x v="0"/>
    <s v="Satisfied"/>
    <n v="50364"/>
  </r>
  <r>
    <n v="34"/>
    <x v="1"/>
    <s v="Travel_Rarely"/>
    <n v="1480"/>
    <x v="0"/>
    <n v="4"/>
    <n v="3"/>
    <s v="Life Sciences"/>
    <n v="1882"/>
    <n v="3"/>
    <x v="1"/>
    <n v="64"/>
    <n v="3"/>
    <x v="2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  <x v="2"/>
    <x v="2"/>
    <s v="3-5 yrs"/>
    <x v="0"/>
    <s v="Very Satisfied"/>
    <n v="116556"/>
  </r>
  <r>
    <n v="29"/>
    <x v="1"/>
    <s v="Travel_Rarely"/>
    <n v="592"/>
    <x v="1"/>
    <n v="7"/>
    <n v="3"/>
    <s v="Life Sciences"/>
    <n v="1883"/>
    <n v="4"/>
    <x v="1"/>
    <n v="59"/>
    <n v="3"/>
    <x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  <x v="2"/>
    <x v="1"/>
    <s v="3-5 yrs"/>
    <x v="0"/>
    <s v="Very Dissatisfied"/>
    <n v="24744"/>
  </r>
  <r>
    <n v="37"/>
    <x v="1"/>
    <s v="Travel_Rarely"/>
    <n v="783"/>
    <x v="1"/>
    <n v="7"/>
    <n v="4"/>
    <s v="Medical"/>
    <n v="1885"/>
    <n v="4"/>
    <x v="1"/>
    <n v="78"/>
    <n v="3"/>
    <x v="0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  <x v="0"/>
    <x v="0"/>
    <s v="3-5 yrs"/>
    <x v="1"/>
    <s v="Very Dissatisfied"/>
    <n v="51408"/>
  </r>
  <r>
    <n v="35"/>
    <x v="1"/>
    <s v="Travel_Rarely"/>
    <n v="219"/>
    <x v="1"/>
    <n v="16"/>
    <n v="2"/>
    <s v="Other"/>
    <n v="1886"/>
    <n v="4"/>
    <x v="0"/>
    <n v="44"/>
    <n v="2"/>
    <x v="0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  <x v="2"/>
    <x v="0"/>
    <s v="3-5 yrs"/>
    <x v="0"/>
    <s v="Dissatisfied"/>
    <n v="57456"/>
  </r>
  <r>
    <n v="45"/>
    <x v="1"/>
    <s v="Travel_Rarely"/>
    <n v="556"/>
    <x v="1"/>
    <n v="25"/>
    <n v="2"/>
    <s v="Life Sciences"/>
    <n v="1888"/>
    <n v="2"/>
    <x v="0"/>
    <n v="93"/>
    <n v="2"/>
    <x v="0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  <x v="0"/>
    <x v="0"/>
    <s v="6-10 yrs"/>
    <x v="0"/>
    <s v="Very Satisfied"/>
    <n v="70872"/>
  </r>
  <r>
    <n v="36"/>
    <x v="1"/>
    <s v="Travel_Frequently"/>
    <n v="1213"/>
    <x v="2"/>
    <n v="2"/>
    <n v="1"/>
    <s v="Human Resources"/>
    <n v="1890"/>
    <n v="2"/>
    <x v="1"/>
    <n v="94"/>
    <n v="2"/>
    <x v="0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  <x v="0"/>
    <x v="0"/>
    <s v="6-10 yrs"/>
    <x v="1"/>
    <s v="Very Satisfied"/>
    <n v="46632"/>
  </r>
  <r>
    <n v="40"/>
    <x v="1"/>
    <s v="Travel_Rarely"/>
    <n v="1137"/>
    <x v="1"/>
    <n v="1"/>
    <n v="4"/>
    <s v="Life Sciences"/>
    <n v="1892"/>
    <n v="1"/>
    <x v="1"/>
    <n v="98"/>
    <n v="3"/>
    <x v="3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x v="0"/>
    <x v="3"/>
    <s v="10+ yrs"/>
    <x v="0"/>
    <s v="Very Dissatisfied"/>
    <n v="201876"/>
  </r>
  <r>
    <n v="26"/>
    <x v="1"/>
    <s v="Travel_Rarely"/>
    <n v="482"/>
    <x v="1"/>
    <n v="1"/>
    <n v="2"/>
    <s v="Life Sciences"/>
    <n v="1893"/>
    <n v="2"/>
    <x v="0"/>
    <n v="90"/>
    <n v="2"/>
    <x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  <x v="2"/>
    <x v="1"/>
    <s v="0-2 yrs"/>
    <x v="0"/>
    <s v="Satisfied"/>
    <n v="35196"/>
  </r>
  <r>
    <n v="27"/>
    <x v="1"/>
    <s v="Travel_Rarely"/>
    <n v="511"/>
    <x v="0"/>
    <n v="2"/>
    <n v="2"/>
    <s v="Medical"/>
    <n v="1898"/>
    <n v="1"/>
    <x v="0"/>
    <n v="89"/>
    <n v="4"/>
    <x v="0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  <x v="2"/>
    <x v="2"/>
    <s v="6-10 yrs"/>
    <x v="0"/>
    <s v="Satisfied"/>
    <n v="78000"/>
  </r>
  <r>
    <n v="48"/>
    <x v="1"/>
    <s v="Travel_Frequently"/>
    <n v="117"/>
    <x v="1"/>
    <n v="22"/>
    <n v="3"/>
    <s v="Medical"/>
    <n v="1900"/>
    <n v="4"/>
    <x v="0"/>
    <n v="58"/>
    <n v="3"/>
    <x v="3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x v="1"/>
    <x v="3"/>
    <s v="10+ yrs"/>
    <x v="0"/>
    <s v="Very Satisfied"/>
    <n v="206088"/>
  </r>
  <r>
    <n v="44"/>
    <x v="1"/>
    <s v="Travel_Rarely"/>
    <n v="170"/>
    <x v="1"/>
    <n v="1"/>
    <n v="4"/>
    <s v="Life Sciences"/>
    <n v="1903"/>
    <n v="2"/>
    <x v="1"/>
    <n v="78"/>
    <n v="4"/>
    <x v="0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  <x v="0"/>
    <x v="0"/>
    <s v="0-2 yrs"/>
    <x v="0"/>
    <s v="Very Dissatisfied"/>
    <n v="60396"/>
  </r>
  <r>
    <n v="34"/>
    <x v="0"/>
    <s v="Non-Travel"/>
    <n v="967"/>
    <x v="1"/>
    <n v="16"/>
    <n v="4"/>
    <s v="Technical Degree"/>
    <n v="1905"/>
    <n v="4"/>
    <x v="1"/>
    <n v="85"/>
    <n v="1"/>
    <x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  <x v="2"/>
    <x v="1"/>
    <s v="3-5 yrs"/>
    <x v="1"/>
    <s v="Very Dissatisfied"/>
    <n v="27684"/>
  </r>
  <r>
    <n v="56"/>
    <x v="0"/>
    <s v="Travel_Rarely"/>
    <n v="1162"/>
    <x v="1"/>
    <n v="24"/>
    <n v="2"/>
    <s v="Life Sciences"/>
    <n v="1907"/>
    <n v="1"/>
    <x v="1"/>
    <n v="97"/>
    <n v="3"/>
    <x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  <x v="1"/>
    <x v="1"/>
    <s v="3-5 yrs"/>
    <x v="0"/>
    <s v="Very Satisfied"/>
    <n v="31044"/>
  </r>
  <r>
    <n v="36"/>
    <x v="1"/>
    <s v="Travel_Rarely"/>
    <n v="335"/>
    <x v="0"/>
    <n v="17"/>
    <n v="2"/>
    <s v="Marketing"/>
    <n v="1908"/>
    <n v="3"/>
    <x v="1"/>
    <n v="33"/>
    <n v="2"/>
    <x v="0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  <x v="0"/>
    <x v="0"/>
    <s v="3-5 yrs"/>
    <x v="0"/>
    <s v="Dissatisfied"/>
    <n v="66084"/>
  </r>
  <r>
    <n v="41"/>
    <x v="1"/>
    <s v="Travel_Rarely"/>
    <n v="337"/>
    <x v="0"/>
    <n v="8"/>
    <n v="3"/>
    <s v="Marketing"/>
    <n v="1909"/>
    <n v="3"/>
    <x v="0"/>
    <n v="54"/>
    <n v="3"/>
    <x v="0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  <x v="0"/>
    <x v="0"/>
    <s v="3-5 yrs"/>
    <x v="1"/>
    <s v="Dissatisfied"/>
    <n v="52716"/>
  </r>
  <r>
    <n v="42"/>
    <x v="1"/>
    <s v="Travel_Rarely"/>
    <n v="1396"/>
    <x v="1"/>
    <n v="6"/>
    <n v="3"/>
    <s v="Medical"/>
    <n v="1911"/>
    <n v="3"/>
    <x v="1"/>
    <n v="83"/>
    <n v="3"/>
    <x v="2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x v="0"/>
    <x v="3"/>
    <s v="10+ yrs"/>
    <x v="0"/>
    <s v="Very Dissatisfied"/>
    <n v="160176"/>
  </r>
  <r>
    <n v="31"/>
    <x v="1"/>
    <s v="Travel_Rarely"/>
    <n v="1079"/>
    <x v="0"/>
    <n v="10"/>
    <n v="2"/>
    <s v="Medical"/>
    <n v="1912"/>
    <n v="3"/>
    <x v="0"/>
    <n v="86"/>
    <n v="3"/>
    <x v="0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  <x v="2"/>
    <x v="2"/>
    <s v="3-5 yrs"/>
    <x v="0"/>
    <s v="Very Satisfied"/>
    <n v="78996"/>
  </r>
  <r>
    <n v="34"/>
    <x v="1"/>
    <s v="Travel_Rarely"/>
    <n v="735"/>
    <x v="0"/>
    <n v="3"/>
    <n v="1"/>
    <s v="Medical"/>
    <n v="1915"/>
    <n v="4"/>
    <x v="0"/>
    <n v="75"/>
    <n v="2"/>
    <x v="0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  <x v="2"/>
    <x v="2"/>
    <s v="3-5 yrs"/>
    <x v="0"/>
    <s v="Very Satisfied"/>
    <n v="97236"/>
  </r>
  <r>
    <n v="31"/>
    <x v="1"/>
    <s v="Travel_Rarely"/>
    <n v="471"/>
    <x v="1"/>
    <n v="4"/>
    <n v="3"/>
    <s v="Medical"/>
    <n v="1916"/>
    <n v="1"/>
    <x v="0"/>
    <n v="62"/>
    <n v="4"/>
    <x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  <x v="2"/>
    <x v="0"/>
    <s v="0-2 yrs"/>
    <x v="0"/>
    <s v="Satisfied"/>
    <n v="47736"/>
  </r>
  <r>
    <n v="26"/>
    <x v="1"/>
    <s v="Travel_Frequently"/>
    <n v="1096"/>
    <x v="1"/>
    <n v="6"/>
    <n v="3"/>
    <s v="Other"/>
    <n v="1918"/>
    <n v="3"/>
    <x v="1"/>
    <n v="61"/>
    <n v="4"/>
    <x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  <x v="2"/>
    <x v="1"/>
    <s v="6-10 yrs"/>
    <x v="0"/>
    <s v="Very Satisfied"/>
    <n v="30528"/>
  </r>
  <r>
    <n v="45"/>
    <x v="1"/>
    <s v="Travel_Frequently"/>
    <n v="1297"/>
    <x v="1"/>
    <n v="1"/>
    <n v="4"/>
    <s v="Medical"/>
    <n v="1922"/>
    <n v="2"/>
    <x v="1"/>
    <n v="44"/>
    <n v="3"/>
    <x v="0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  <x v="0"/>
    <x v="0"/>
    <s v="3-5 yrs"/>
    <x v="0"/>
    <s v="Satisfied"/>
    <n v="64788"/>
  </r>
  <r>
    <n v="33"/>
    <x v="1"/>
    <s v="Travel_Rarely"/>
    <n v="217"/>
    <x v="0"/>
    <n v="10"/>
    <n v="4"/>
    <s v="Marketing"/>
    <n v="1924"/>
    <n v="2"/>
    <x v="1"/>
    <n v="43"/>
    <n v="3"/>
    <x v="0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  <x v="2"/>
    <x v="0"/>
    <s v="6-10 yrs"/>
    <x v="0"/>
    <s v="Satisfied"/>
    <n v="65844"/>
  </r>
  <r>
    <n v="28"/>
    <x v="1"/>
    <s v="Travel_Frequently"/>
    <n v="783"/>
    <x v="0"/>
    <n v="1"/>
    <n v="2"/>
    <s v="Life Sciences"/>
    <n v="1927"/>
    <n v="3"/>
    <x v="1"/>
    <n v="42"/>
    <n v="2"/>
    <x v="0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  <x v="2"/>
    <x v="2"/>
    <s v="6-10 yrs"/>
    <x v="0"/>
    <s v="Very Satisfied"/>
    <n v="82008"/>
  </r>
  <r>
    <n v="29"/>
    <x v="0"/>
    <s v="Travel_Frequently"/>
    <n v="746"/>
    <x v="0"/>
    <n v="24"/>
    <n v="3"/>
    <s v="Technical Degree"/>
    <n v="1928"/>
    <n v="3"/>
    <x v="1"/>
    <n v="45"/>
    <n v="4"/>
    <x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  <x v="2"/>
    <x v="1"/>
    <s v="0-2 yrs"/>
    <x v="0"/>
    <s v="Very Dissatisfied"/>
    <n v="13092"/>
  </r>
  <r>
    <n v="39"/>
    <x v="1"/>
    <s v="Non-Travel"/>
    <n v="1251"/>
    <x v="0"/>
    <n v="21"/>
    <n v="4"/>
    <s v="Life Sciences"/>
    <n v="1929"/>
    <n v="1"/>
    <x v="0"/>
    <n v="32"/>
    <n v="1"/>
    <x v="0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  <x v="0"/>
    <x v="0"/>
    <s v="3-5 yrs"/>
    <x v="0"/>
    <s v="Satisfied"/>
    <n v="68832"/>
  </r>
  <r>
    <n v="27"/>
    <x v="1"/>
    <s v="Travel_Rarely"/>
    <n v="1354"/>
    <x v="1"/>
    <n v="2"/>
    <n v="4"/>
    <s v="Technical Degree"/>
    <n v="1931"/>
    <n v="2"/>
    <x v="1"/>
    <n v="41"/>
    <n v="3"/>
    <x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  <x v="2"/>
    <x v="1"/>
    <s v="3-5 yrs"/>
    <x v="0"/>
    <s v="Dissatisfied"/>
    <n v="26712"/>
  </r>
  <r>
    <n v="34"/>
    <x v="1"/>
    <s v="Travel_Frequently"/>
    <n v="735"/>
    <x v="1"/>
    <n v="22"/>
    <n v="4"/>
    <s v="Other"/>
    <n v="1932"/>
    <n v="3"/>
    <x v="1"/>
    <n v="86"/>
    <n v="2"/>
    <x v="0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x v="2"/>
    <x v="0"/>
    <s v="10+ yrs"/>
    <x v="0"/>
    <s v="Very Satisfied"/>
    <n v="68964"/>
  </r>
  <r>
    <n v="28"/>
    <x v="0"/>
    <s v="Travel_Rarely"/>
    <n v="1475"/>
    <x v="0"/>
    <n v="13"/>
    <n v="2"/>
    <s v="Marketing"/>
    <n v="1933"/>
    <n v="4"/>
    <x v="0"/>
    <n v="84"/>
    <n v="3"/>
    <x v="0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  <x v="2"/>
    <x v="2"/>
    <s v="0-2 yrs"/>
    <x v="0"/>
    <s v="Satisfied"/>
    <n v="118248"/>
  </r>
  <r>
    <n v="47"/>
    <x v="1"/>
    <s v="Non-Travel"/>
    <n v="1169"/>
    <x v="1"/>
    <n v="14"/>
    <n v="4"/>
    <s v="Technical Degree"/>
    <n v="1934"/>
    <n v="3"/>
    <x v="1"/>
    <n v="64"/>
    <n v="3"/>
    <x v="0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  <x v="1"/>
    <x v="0"/>
    <s v="6-10 yrs"/>
    <x v="0"/>
    <s v="Dissatisfied"/>
    <n v="65604"/>
  </r>
  <r>
    <n v="56"/>
    <x v="1"/>
    <s v="Travel_Rarely"/>
    <n v="1443"/>
    <x v="0"/>
    <n v="11"/>
    <n v="5"/>
    <s v="Marketing"/>
    <n v="1935"/>
    <n v="4"/>
    <x v="0"/>
    <n v="89"/>
    <n v="2"/>
    <x v="0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  <x v="1"/>
    <x v="0"/>
    <s v="0-2 yrs"/>
    <x v="0"/>
    <s v="Very Dissatisfied"/>
    <n v="64560"/>
  </r>
  <r>
    <n v="39"/>
    <x v="1"/>
    <s v="Travel_Rarely"/>
    <n v="867"/>
    <x v="1"/>
    <n v="9"/>
    <n v="2"/>
    <s v="Medical"/>
    <n v="1936"/>
    <n v="1"/>
    <x v="1"/>
    <n v="87"/>
    <n v="3"/>
    <x v="0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x v="0"/>
    <x v="0"/>
    <s v="6-10 yrs"/>
    <x v="1"/>
    <s v="Very Dissatisfied"/>
    <n v="61812"/>
  </r>
  <r>
    <n v="38"/>
    <x v="1"/>
    <s v="Travel_Frequently"/>
    <n v="1394"/>
    <x v="1"/>
    <n v="8"/>
    <n v="3"/>
    <s v="Medical"/>
    <n v="1937"/>
    <n v="4"/>
    <x v="0"/>
    <n v="58"/>
    <n v="2"/>
    <x v="0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x v="0"/>
    <x v="1"/>
    <s v="10+ yrs"/>
    <x v="0"/>
    <s v="Dissatisfied"/>
    <n v="25596"/>
  </r>
  <r>
    <n v="58"/>
    <x v="1"/>
    <s v="Travel_Rarely"/>
    <n v="605"/>
    <x v="0"/>
    <n v="21"/>
    <n v="3"/>
    <s v="Life Sciences"/>
    <n v="1938"/>
    <n v="4"/>
    <x v="0"/>
    <n v="72"/>
    <n v="3"/>
    <x v="3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x v="1"/>
    <x v="3"/>
    <s v="0-2 yrs"/>
    <x v="0"/>
    <s v="Very Satisfied"/>
    <n v="214500"/>
  </r>
  <r>
    <n v="32"/>
    <x v="0"/>
    <s v="Travel_Frequently"/>
    <n v="238"/>
    <x v="1"/>
    <n v="5"/>
    <n v="2"/>
    <s v="Life Sciences"/>
    <n v="1939"/>
    <n v="1"/>
    <x v="0"/>
    <n v="47"/>
    <n v="4"/>
    <x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  <x v="2"/>
    <x v="1"/>
    <s v="3-5 yrs"/>
    <x v="0"/>
    <s v="Satisfied"/>
    <n v="29184"/>
  </r>
  <r>
    <n v="38"/>
    <x v="1"/>
    <s v="Travel_Rarely"/>
    <n v="1206"/>
    <x v="1"/>
    <n v="9"/>
    <n v="2"/>
    <s v="Life Sciences"/>
    <n v="1940"/>
    <n v="2"/>
    <x v="1"/>
    <n v="71"/>
    <n v="3"/>
    <x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x v="0"/>
    <x v="0"/>
    <s v="3-5 yrs"/>
    <x v="0"/>
    <s v="Very Satisfied"/>
    <n v="57252"/>
  </r>
  <r>
    <n v="49"/>
    <x v="1"/>
    <s v="Travel_Frequently"/>
    <n v="1064"/>
    <x v="1"/>
    <n v="2"/>
    <n v="1"/>
    <s v="Life Sciences"/>
    <n v="1941"/>
    <n v="2"/>
    <x v="1"/>
    <n v="42"/>
    <n v="3"/>
    <x v="4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x v="1"/>
    <x v="3"/>
    <s v="3-5 yrs"/>
    <x v="0"/>
    <s v="Very Satisfied"/>
    <n v="229932"/>
  </r>
  <r>
    <n v="42"/>
    <x v="1"/>
    <s v="Travel_Rarely"/>
    <n v="419"/>
    <x v="0"/>
    <n v="12"/>
    <n v="4"/>
    <s v="Marketing"/>
    <n v="1943"/>
    <n v="2"/>
    <x v="1"/>
    <n v="77"/>
    <n v="3"/>
    <x v="0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  <x v="0"/>
    <x v="0"/>
    <s v="0-2 yrs"/>
    <x v="0"/>
    <s v="Very Satisfied"/>
    <n v="61044"/>
  </r>
  <r>
    <n v="27"/>
    <x v="0"/>
    <s v="Travel_Frequently"/>
    <n v="1337"/>
    <x v="2"/>
    <n v="22"/>
    <n v="3"/>
    <s v="Human Resources"/>
    <n v="1944"/>
    <n v="1"/>
    <x v="0"/>
    <n v="58"/>
    <n v="2"/>
    <x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  <x v="2"/>
    <x v="1"/>
    <s v="0-2 yrs"/>
    <x v="0"/>
    <s v="Dissatisfied"/>
    <n v="34356"/>
  </r>
  <r>
    <n v="35"/>
    <x v="1"/>
    <s v="Travel_Rarely"/>
    <n v="682"/>
    <x v="0"/>
    <n v="18"/>
    <n v="4"/>
    <s v="Medical"/>
    <n v="1945"/>
    <n v="2"/>
    <x v="1"/>
    <n v="71"/>
    <n v="3"/>
    <x v="0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  <x v="2"/>
    <x v="0"/>
    <s v="3-5 yrs"/>
    <x v="0"/>
    <s v="Very Dissatisfied"/>
    <n v="66732"/>
  </r>
  <r>
    <n v="28"/>
    <x v="1"/>
    <s v="Non-Travel"/>
    <n v="1103"/>
    <x v="1"/>
    <n v="16"/>
    <n v="3"/>
    <s v="Medical"/>
    <n v="1947"/>
    <n v="3"/>
    <x v="1"/>
    <n v="49"/>
    <n v="3"/>
    <x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  <x v="2"/>
    <x v="1"/>
    <s v="3-5 yrs"/>
    <x v="0"/>
    <s v="Satisfied"/>
    <n v="25728"/>
  </r>
  <r>
    <n v="31"/>
    <x v="1"/>
    <s v="Non-Travel"/>
    <n v="976"/>
    <x v="1"/>
    <n v="3"/>
    <n v="2"/>
    <s v="Medical"/>
    <n v="1948"/>
    <n v="3"/>
    <x v="1"/>
    <n v="48"/>
    <n v="3"/>
    <x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  <x v="2"/>
    <x v="0"/>
    <s v="3-5 yrs"/>
    <x v="0"/>
    <s v="Very Dissatisfied"/>
    <n v="36780"/>
  </r>
  <r>
    <n v="36"/>
    <x v="1"/>
    <s v="Non-Travel"/>
    <n v="1351"/>
    <x v="1"/>
    <n v="9"/>
    <n v="4"/>
    <s v="Life Sciences"/>
    <n v="1949"/>
    <n v="1"/>
    <x v="1"/>
    <n v="66"/>
    <n v="4"/>
    <x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  <x v="0"/>
    <x v="1"/>
    <s v="3-5 yrs"/>
    <x v="1"/>
    <s v="Dissatisfied"/>
    <n v="33720"/>
  </r>
  <r>
    <n v="34"/>
    <x v="1"/>
    <s v="Travel_Rarely"/>
    <n v="937"/>
    <x v="0"/>
    <n v="1"/>
    <n v="3"/>
    <s v="Marketing"/>
    <n v="1950"/>
    <n v="1"/>
    <x v="1"/>
    <n v="32"/>
    <n v="3"/>
    <x v="2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  <x v="2"/>
    <x v="2"/>
    <s v="10+ yrs"/>
    <x v="1"/>
    <s v="Very Satisfied"/>
    <n v="118656"/>
  </r>
  <r>
    <n v="34"/>
    <x v="1"/>
    <s v="Travel_Rarely"/>
    <n v="1239"/>
    <x v="0"/>
    <n v="13"/>
    <n v="4"/>
    <s v="Medical"/>
    <n v="1951"/>
    <n v="4"/>
    <x v="1"/>
    <n v="39"/>
    <n v="3"/>
    <x v="2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  <x v="2"/>
    <x v="2"/>
    <s v="6-10 yrs"/>
    <x v="0"/>
    <s v="Satisfied"/>
    <n v="103536"/>
  </r>
  <r>
    <n v="26"/>
    <x v="1"/>
    <s v="Travel_Rarely"/>
    <n v="157"/>
    <x v="1"/>
    <n v="1"/>
    <n v="3"/>
    <s v="Medical"/>
    <n v="1952"/>
    <n v="3"/>
    <x v="1"/>
    <n v="95"/>
    <n v="3"/>
    <x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  <x v="2"/>
    <x v="1"/>
    <s v="6-10 yrs"/>
    <x v="0"/>
    <s v="Very Dissatisfied"/>
    <n v="34404"/>
  </r>
  <r>
    <n v="29"/>
    <x v="1"/>
    <s v="Travel_Rarely"/>
    <n v="136"/>
    <x v="1"/>
    <n v="1"/>
    <n v="3"/>
    <s v="Life Sciences"/>
    <n v="1954"/>
    <n v="1"/>
    <x v="1"/>
    <n v="89"/>
    <n v="3"/>
    <x v="0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  <x v="2"/>
    <x v="0"/>
    <s v="3-5 yrs"/>
    <x v="0"/>
    <s v="Very Dissatisfied"/>
    <n v="64476"/>
  </r>
  <r>
    <n v="32"/>
    <x v="1"/>
    <s v="Non-Travel"/>
    <n v="1146"/>
    <x v="1"/>
    <n v="15"/>
    <n v="4"/>
    <s v="Medical"/>
    <n v="1955"/>
    <n v="3"/>
    <x v="0"/>
    <n v="34"/>
    <n v="3"/>
    <x v="0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  <x v="2"/>
    <x v="2"/>
    <s v="3-5 yrs"/>
    <x v="0"/>
    <s v="Very Satisfied"/>
    <n v="80004"/>
  </r>
  <r>
    <n v="31"/>
    <x v="1"/>
    <s v="Travel_Frequently"/>
    <n v="1125"/>
    <x v="1"/>
    <n v="1"/>
    <n v="3"/>
    <s v="Life Sciences"/>
    <n v="1956"/>
    <n v="4"/>
    <x v="1"/>
    <n v="48"/>
    <n v="1"/>
    <x v="0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  <x v="2"/>
    <x v="0"/>
    <s v="6-10 yrs"/>
    <x v="1"/>
    <s v="Very Dissatisfied"/>
    <n v="60036"/>
  </r>
  <r>
    <n v="28"/>
    <x v="0"/>
    <s v="Travel_Rarely"/>
    <n v="1404"/>
    <x v="1"/>
    <n v="17"/>
    <n v="3"/>
    <s v="Technical Degree"/>
    <n v="1960"/>
    <n v="3"/>
    <x v="1"/>
    <n v="32"/>
    <n v="2"/>
    <x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  <x v="2"/>
    <x v="1"/>
    <s v="3-5 yrs"/>
    <x v="0"/>
    <s v="Very Satisfied"/>
    <n v="28404"/>
  </r>
  <r>
    <n v="38"/>
    <x v="1"/>
    <s v="Travel_Rarely"/>
    <n v="1404"/>
    <x v="0"/>
    <n v="1"/>
    <n v="3"/>
    <s v="Life Sciences"/>
    <n v="1961"/>
    <n v="1"/>
    <x v="1"/>
    <n v="59"/>
    <n v="2"/>
    <x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  <x v="0"/>
    <x v="1"/>
    <s v="0-2 yrs"/>
    <x v="0"/>
    <s v="Very Dissatisfied"/>
    <n v="34296"/>
  </r>
  <r>
    <n v="35"/>
    <x v="1"/>
    <s v="Travel_Rarely"/>
    <n v="1224"/>
    <x v="0"/>
    <n v="7"/>
    <n v="4"/>
    <s v="Life Sciences"/>
    <n v="1962"/>
    <n v="3"/>
    <x v="0"/>
    <n v="55"/>
    <n v="3"/>
    <x v="0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x v="2"/>
    <x v="0"/>
    <s v="6-10 yrs"/>
    <x v="0"/>
    <s v="Very Satisfied"/>
    <n v="62448"/>
  </r>
  <r>
    <n v="27"/>
    <x v="1"/>
    <s v="Travel_Rarely"/>
    <n v="954"/>
    <x v="0"/>
    <n v="9"/>
    <n v="3"/>
    <s v="Marketing"/>
    <n v="1965"/>
    <n v="4"/>
    <x v="1"/>
    <n v="44"/>
    <n v="3"/>
    <x v="0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  <x v="2"/>
    <x v="0"/>
    <s v="6-10 yrs"/>
    <x v="0"/>
    <s v="Very Satisfied"/>
    <n v="49260"/>
  </r>
  <r>
    <n v="32"/>
    <x v="1"/>
    <s v="Travel_Rarely"/>
    <n v="1373"/>
    <x v="1"/>
    <n v="5"/>
    <n v="4"/>
    <s v="Life Sciences"/>
    <n v="1966"/>
    <n v="4"/>
    <x v="1"/>
    <n v="56"/>
    <n v="2"/>
    <x v="0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  <x v="2"/>
    <x v="2"/>
    <s v="0-2 yrs"/>
    <x v="1"/>
    <s v="Very Satisfied"/>
    <n v="116148"/>
  </r>
  <r>
    <n v="31"/>
    <x v="0"/>
    <s v="Travel_Frequently"/>
    <n v="754"/>
    <x v="0"/>
    <n v="26"/>
    <n v="4"/>
    <s v="Marketing"/>
    <n v="1967"/>
    <n v="1"/>
    <x v="1"/>
    <n v="63"/>
    <n v="3"/>
    <x v="0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x v="2"/>
    <x v="0"/>
    <s v="6-10 yrs"/>
    <x v="0"/>
    <s v="Very Satisfied"/>
    <n v="67404"/>
  </r>
  <r>
    <n v="53"/>
    <x v="0"/>
    <s v="Travel_Rarely"/>
    <n v="1168"/>
    <x v="0"/>
    <n v="24"/>
    <n v="4"/>
    <s v="Life Sciences"/>
    <n v="1968"/>
    <n v="1"/>
    <x v="1"/>
    <n v="66"/>
    <n v="3"/>
    <x v="2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  <x v="1"/>
    <x v="3"/>
    <s v="0-2 yrs"/>
    <x v="0"/>
    <s v="Very Dissatisfied"/>
    <n v="125376"/>
  </r>
  <r>
    <n v="54"/>
    <x v="1"/>
    <s v="Travel_Rarely"/>
    <n v="155"/>
    <x v="1"/>
    <n v="9"/>
    <n v="2"/>
    <s v="Life Sciences"/>
    <n v="1969"/>
    <n v="1"/>
    <x v="0"/>
    <n v="67"/>
    <n v="3"/>
    <x v="0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  <x v="1"/>
    <x v="1"/>
    <s v="3-5 yrs"/>
    <x v="0"/>
    <s v="Satisfied"/>
    <n v="34764"/>
  </r>
  <r>
    <n v="33"/>
    <x v="1"/>
    <s v="Travel_Frequently"/>
    <n v="1303"/>
    <x v="1"/>
    <n v="7"/>
    <n v="2"/>
    <s v="Life Sciences"/>
    <n v="1970"/>
    <n v="4"/>
    <x v="1"/>
    <n v="36"/>
    <n v="3"/>
    <x v="0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  <x v="2"/>
    <x v="0"/>
    <s v="6-10 yrs"/>
    <x v="1"/>
    <s v="Satisfied"/>
    <n v="71616"/>
  </r>
  <r>
    <n v="43"/>
    <x v="1"/>
    <s v="Travel_Rarely"/>
    <n v="574"/>
    <x v="1"/>
    <n v="11"/>
    <n v="3"/>
    <s v="Life Sciences"/>
    <n v="1971"/>
    <n v="1"/>
    <x v="1"/>
    <n v="30"/>
    <n v="3"/>
    <x v="2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x v="0"/>
    <x v="2"/>
    <s v="6-10 yrs"/>
    <x v="0"/>
    <s v="Satisfied"/>
    <n v="90120"/>
  </r>
  <r>
    <n v="38"/>
    <x v="1"/>
    <s v="Travel_Frequently"/>
    <n v="1444"/>
    <x v="2"/>
    <n v="1"/>
    <n v="4"/>
    <s v="Other"/>
    <n v="1972"/>
    <n v="4"/>
    <x v="1"/>
    <n v="88"/>
    <n v="3"/>
    <x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  <x v="0"/>
    <x v="1"/>
    <s v="6-10 yrs"/>
    <x v="0"/>
    <s v="Dissatisfied"/>
    <n v="35892"/>
  </r>
  <r>
    <n v="55"/>
    <x v="1"/>
    <s v="Travel_Rarely"/>
    <n v="189"/>
    <x v="2"/>
    <n v="26"/>
    <n v="4"/>
    <s v="Human Resources"/>
    <n v="1973"/>
    <n v="3"/>
    <x v="1"/>
    <n v="71"/>
    <n v="4"/>
    <x v="4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x v="1"/>
    <x v="3"/>
    <s v="6-10 yrs"/>
    <x v="0"/>
    <s v="Dissatisfied"/>
    <n v="235632"/>
  </r>
  <r>
    <n v="31"/>
    <x v="1"/>
    <s v="Travel_Rarely"/>
    <n v="1276"/>
    <x v="1"/>
    <n v="2"/>
    <n v="1"/>
    <s v="Medical"/>
    <n v="1974"/>
    <n v="4"/>
    <x v="0"/>
    <n v="59"/>
    <n v="1"/>
    <x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  <x v="2"/>
    <x v="1"/>
    <s v="0-2 yrs"/>
    <x v="0"/>
    <s v="Very Satisfied"/>
    <n v="13548"/>
  </r>
  <r>
    <n v="39"/>
    <x v="1"/>
    <s v="Travel_Rarely"/>
    <n v="119"/>
    <x v="0"/>
    <n v="15"/>
    <n v="4"/>
    <s v="Marketing"/>
    <n v="1975"/>
    <n v="2"/>
    <x v="1"/>
    <n v="77"/>
    <n v="3"/>
    <x v="3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x v="0"/>
    <x v="3"/>
    <s v="10+ yrs"/>
    <x v="0"/>
    <s v="Very Dissatisfied"/>
    <n v="160092"/>
  </r>
  <r>
    <n v="42"/>
    <x v="1"/>
    <s v="Non-Travel"/>
    <n v="335"/>
    <x v="1"/>
    <n v="23"/>
    <n v="2"/>
    <s v="Life Sciences"/>
    <n v="1976"/>
    <n v="4"/>
    <x v="1"/>
    <n v="37"/>
    <n v="2"/>
    <x v="0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  <x v="0"/>
    <x v="0"/>
    <s v="10+ yrs"/>
    <x v="0"/>
    <s v="Satisfied"/>
    <n v="51984"/>
  </r>
  <r>
    <n v="31"/>
    <x v="1"/>
    <s v="Non-Travel"/>
    <n v="697"/>
    <x v="1"/>
    <n v="10"/>
    <n v="3"/>
    <s v="Medical"/>
    <n v="1979"/>
    <n v="3"/>
    <x v="0"/>
    <n v="40"/>
    <n v="3"/>
    <x v="2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x v="2"/>
    <x v="3"/>
    <s v="10+ yrs"/>
    <x v="1"/>
    <s v="Satisfied"/>
    <n v="132372"/>
  </r>
  <r>
    <n v="54"/>
    <x v="1"/>
    <s v="Travel_Rarely"/>
    <n v="157"/>
    <x v="1"/>
    <n v="10"/>
    <n v="3"/>
    <s v="Medical"/>
    <n v="1980"/>
    <n v="3"/>
    <x v="0"/>
    <n v="77"/>
    <n v="3"/>
    <x v="0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  <x v="1"/>
    <x v="0"/>
    <s v="3-5 yrs"/>
    <x v="0"/>
    <s v="Very Dissatisfied"/>
    <n v="53280"/>
  </r>
  <r>
    <n v="24"/>
    <x v="1"/>
    <s v="Travel_Rarely"/>
    <n v="771"/>
    <x v="1"/>
    <n v="1"/>
    <n v="2"/>
    <s v="Life Sciences"/>
    <n v="1981"/>
    <n v="2"/>
    <x v="1"/>
    <n v="45"/>
    <n v="2"/>
    <x v="0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  <x v="3"/>
    <x v="0"/>
    <s v="3-5 yrs"/>
    <x v="0"/>
    <s v="Satisfied"/>
    <n v="55404"/>
  </r>
  <r>
    <n v="23"/>
    <x v="1"/>
    <s v="Travel_Rarely"/>
    <n v="571"/>
    <x v="1"/>
    <n v="12"/>
    <n v="2"/>
    <s v="Other"/>
    <n v="1982"/>
    <n v="4"/>
    <x v="1"/>
    <n v="78"/>
    <n v="3"/>
    <x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  <x v="3"/>
    <x v="1"/>
    <s v="3-5 yrs"/>
    <x v="0"/>
    <s v="Very Satisfied"/>
    <n v="31764"/>
  </r>
  <r>
    <n v="40"/>
    <x v="1"/>
    <s v="Travel_Frequently"/>
    <n v="692"/>
    <x v="1"/>
    <n v="11"/>
    <n v="3"/>
    <s v="Technical Degree"/>
    <n v="1985"/>
    <n v="4"/>
    <x v="0"/>
    <n v="73"/>
    <n v="3"/>
    <x v="0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x v="0"/>
    <x v="2"/>
    <s v="6-10 yrs"/>
    <x v="0"/>
    <s v="Satisfied"/>
    <n v="75876"/>
  </r>
  <r>
    <n v="40"/>
    <x v="1"/>
    <s v="Travel_Rarely"/>
    <n v="444"/>
    <x v="0"/>
    <n v="2"/>
    <n v="2"/>
    <s v="Marketing"/>
    <n v="1986"/>
    <n v="2"/>
    <x v="0"/>
    <n v="92"/>
    <n v="3"/>
    <x v="0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x v="0"/>
    <x v="0"/>
    <s v="10+ yrs"/>
    <x v="0"/>
    <s v="Dissatisfied"/>
    <n v="68124"/>
  </r>
  <r>
    <n v="25"/>
    <x v="1"/>
    <s v="Travel_Rarely"/>
    <n v="309"/>
    <x v="2"/>
    <n v="2"/>
    <n v="3"/>
    <s v="Human Resources"/>
    <n v="1987"/>
    <n v="3"/>
    <x v="0"/>
    <n v="82"/>
    <n v="3"/>
    <x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  <x v="3"/>
    <x v="1"/>
    <s v="0-2 yrs"/>
    <x v="0"/>
    <s v="Dissatisfied"/>
    <n v="26244"/>
  </r>
  <r>
    <n v="30"/>
    <x v="1"/>
    <s v="Travel_Rarely"/>
    <n v="911"/>
    <x v="1"/>
    <n v="1"/>
    <n v="2"/>
    <s v="Medical"/>
    <n v="1989"/>
    <n v="4"/>
    <x v="1"/>
    <n v="76"/>
    <n v="3"/>
    <x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  <x v="2"/>
    <x v="0"/>
    <s v="10+ yrs"/>
    <x v="0"/>
    <s v="Dissatisfied"/>
    <n v="44976"/>
  </r>
  <r>
    <n v="25"/>
    <x v="1"/>
    <s v="Travel_Rarely"/>
    <n v="977"/>
    <x v="1"/>
    <n v="2"/>
    <n v="1"/>
    <s v="Other"/>
    <n v="1992"/>
    <n v="4"/>
    <x v="1"/>
    <n v="57"/>
    <n v="3"/>
    <x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  <x v="3"/>
    <x v="0"/>
    <s v="0-2 yrs"/>
    <x v="0"/>
    <s v="Satisfied"/>
    <n v="47724"/>
  </r>
  <r>
    <n v="47"/>
    <x v="1"/>
    <s v="Travel_Rarely"/>
    <n v="1180"/>
    <x v="1"/>
    <n v="25"/>
    <n v="3"/>
    <s v="Medical"/>
    <n v="1993"/>
    <n v="1"/>
    <x v="1"/>
    <n v="84"/>
    <n v="3"/>
    <x v="2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x v="1"/>
    <x v="2"/>
    <s v="10+ yrs"/>
    <x v="1"/>
    <s v="Satisfied"/>
    <n v="103596"/>
  </r>
  <r>
    <n v="33"/>
    <x v="1"/>
    <s v="Non-Travel"/>
    <n v="1313"/>
    <x v="1"/>
    <n v="1"/>
    <n v="2"/>
    <s v="Medical"/>
    <n v="1994"/>
    <n v="2"/>
    <x v="1"/>
    <n v="59"/>
    <n v="2"/>
    <x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  <x v="2"/>
    <x v="1"/>
    <s v="0-2 yrs"/>
    <x v="0"/>
    <s v="Satisfied"/>
    <n v="24096"/>
  </r>
  <r>
    <n v="38"/>
    <x v="1"/>
    <s v="Travel_Rarely"/>
    <n v="1321"/>
    <x v="0"/>
    <n v="1"/>
    <n v="4"/>
    <s v="Life Sciences"/>
    <n v="1995"/>
    <n v="4"/>
    <x v="1"/>
    <n v="86"/>
    <n v="3"/>
    <x v="0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x v="0"/>
    <x v="0"/>
    <s v="10+ yrs"/>
    <x v="0"/>
    <s v="Dissatisfied"/>
    <n v="53280"/>
  </r>
  <r>
    <n v="31"/>
    <x v="1"/>
    <s v="Travel_Rarely"/>
    <n v="1154"/>
    <x v="0"/>
    <n v="2"/>
    <n v="2"/>
    <s v="Life Sciences"/>
    <n v="1996"/>
    <n v="1"/>
    <x v="1"/>
    <n v="54"/>
    <n v="3"/>
    <x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  <x v="2"/>
    <x v="0"/>
    <s v="0-2 yrs"/>
    <x v="0"/>
    <s v="Satisfied"/>
    <n v="36804"/>
  </r>
  <r>
    <n v="38"/>
    <x v="1"/>
    <s v="Travel_Frequently"/>
    <n v="508"/>
    <x v="1"/>
    <n v="6"/>
    <n v="4"/>
    <s v="Life Sciences"/>
    <n v="1997"/>
    <n v="1"/>
    <x v="1"/>
    <n v="72"/>
    <n v="2"/>
    <x v="0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  <x v="0"/>
    <x v="0"/>
    <s v="6-10 yrs"/>
    <x v="0"/>
    <s v="Satisfied"/>
    <n v="63852"/>
  </r>
  <r>
    <n v="42"/>
    <x v="1"/>
    <s v="Travel_Rarely"/>
    <n v="557"/>
    <x v="1"/>
    <n v="18"/>
    <n v="4"/>
    <s v="Life Sciences"/>
    <n v="1998"/>
    <n v="4"/>
    <x v="1"/>
    <n v="35"/>
    <n v="3"/>
    <x v="0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  <x v="0"/>
    <x v="0"/>
    <s v="3-5 yrs"/>
    <x v="0"/>
    <s v="Very Dissatisfied"/>
    <n v="64920"/>
  </r>
  <r>
    <n v="41"/>
    <x v="1"/>
    <s v="Travel_Rarely"/>
    <n v="642"/>
    <x v="1"/>
    <n v="1"/>
    <n v="3"/>
    <s v="Life Sciences"/>
    <n v="1999"/>
    <n v="4"/>
    <x v="1"/>
    <n v="76"/>
    <n v="3"/>
    <x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  <x v="0"/>
    <x v="1"/>
    <s v="3-5 yrs"/>
    <x v="1"/>
    <s v="Very Satisfied"/>
    <n v="33384"/>
  </r>
  <r>
    <n v="47"/>
    <x v="1"/>
    <s v="Non-Travel"/>
    <n v="1162"/>
    <x v="1"/>
    <n v="1"/>
    <n v="1"/>
    <s v="Medical"/>
    <n v="2000"/>
    <n v="3"/>
    <x v="0"/>
    <n v="98"/>
    <n v="3"/>
    <x v="2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x v="1"/>
    <x v="3"/>
    <s v="10+ yrs"/>
    <x v="0"/>
    <s v="Dissatisfied"/>
    <n v="143484"/>
  </r>
  <r>
    <n v="35"/>
    <x v="1"/>
    <s v="Travel_Rarely"/>
    <n v="1490"/>
    <x v="1"/>
    <n v="11"/>
    <n v="4"/>
    <s v="Medical"/>
    <n v="2003"/>
    <n v="4"/>
    <x v="1"/>
    <n v="43"/>
    <n v="3"/>
    <x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  <x v="2"/>
    <x v="1"/>
    <s v="0-2 yrs"/>
    <x v="0"/>
    <s v="Satisfied"/>
    <n v="31920"/>
  </r>
  <r>
    <n v="22"/>
    <x v="1"/>
    <s v="Travel_Rarely"/>
    <n v="581"/>
    <x v="1"/>
    <n v="1"/>
    <n v="2"/>
    <s v="Life Sciences"/>
    <n v="2007"/>
    <n v="4"/>
    <x v="1"/>
    <n v="63"/>
    <n v="3"/>
    <x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  <x v="3"/>
    <x v="0"/>
    <s v="3-5 yrs"/>
    <x v="0"/>
    <s v="Satisfied"/>
    <n v="40500"/>
  </r>
  <r>
    <n v="35"/>
    <x v="1"/>
    <s v="Travel_Rarely"/>
    <n v="1395"/>
    <x v="1"/>
    <n v="9"/>
    <n v="4"/>
    <s v="Medical"/>
    <n v="2008"/>
    <n v="2"/>
    <x v="1"/>
    <n v="48"/>
    <n v="3"/>
    <x v="0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  <x v="2"/>
    <x v="0"/>
    <s v="6-10 yrs"/>
    <x v="0"/>
    <s v="Satisfied"/>
    <n v="61176"/>
  </r>
  <r>
    <n v="33"/>
    <x v="1"/>
    <s v="Travel_Rarely"/>
    <n v="501"/>
    <x v="1"/>
    <n v="15"/>
    <n v="2"/>
    <s v="Medical"/>
    <n v="2009"/>
    <n v="2"/>
    <x v="0"/>
    <n v="95"/>
    <n v="3"/>
    <x v="0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  <x v="2"/>
    <x v="0"/>
    <s v="6-10 yrs"/>
    <x v="0"/>
    <s v="Very Satisfied"/>
    <n v="58536"/>
  </r>
  <r>
    <n v="32"/>
    <x v="1"/>
    <s v="Travel_Rarely"/>
    <n v="267"/>
    <x v="1"/>
    <n v="29"/>
    <n v="4"/>
    <s v="Life Sciences"/>
    <n v="2010"/>
    <n v="3"/>
    <x v="0"/>
    <n v="49"/>
    <n v="2"/>
    <x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  <x v="2"/>
    <x v="1"/>
    <s v="6-10 yrs"/>
    <x v="0"/>
    <s v="Dissatisfied"/>
    <n v="34044"/>
  </r>
  <r>
    <n v="40"/>
    <x v="1"/>
    <s v="Travel_Rarely"/>
    <n v="543"/>
    <x v="1"/>
    <n v="1"/>
    <n v="4"/>
    <s v="Life Sciences"/>
    <n v="2012"/>
    <n v="1"/>
    <x v="1"/>
    <n v="83"/>
    <n v="3"/>
    <x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  <x v="0"/>
    <x v="1"/>
    <s v="0-2 yrs"/>
    <x v="0"/>
    <s v="Very Satisfied"/>
    <n v="28872"/>
  </r>
  <r>
    <n v="32"/>
    <x v="1"/>
    <s v="Travel_Rarely"/>
    <n v="234"/>
    <x v="0"/>
    <n v="1"/>
    <n v="4"/>
    <s v="Medical"/>
    <n v="2013"/>
    <n v="2"/>
    <x v="1"/>
    <n v="68"/>
    <n v="2"/>
    <x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  <x v="2"/>
    <x v="1"/>
    <s v="0-2 yrs"/>
    <x v="0"/>
    <s v="Dissatisfied"/>
    <n v="27228"/>
  </r>
  <r>
    <n v="39"/>
    <x v="1"/>
    <s v="Travel_Rarely"/>
    <n v="116"/>
    <x v="1"/>
    <n v="24"/>
    <n v="1"/>
    <s v="Life Sciences"/>
    <n v="2014"/>
    <n v="1"/>
    <x v="1"/>
    <n v="52"/>
    <n v="3"/>
    <x v="0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  <x v="0"/>
    <x v="0"/>
    <s v="6-10 yrs"/>
    <x v="0"/>
    <s v="Very Satisfied"/>
    <n v="49296"/>
  </r>
  <r>
    <n v="38"/>
    <x v="1"/>
    <s v="Travel_Rarely"/>
    <n v="201"/>
    <x v="1"/>
    <n v="10"/>
    <n v="3"/>
    <s v="Medical"/>
    <n v="2015"/>
    <n v="2"/>
    <x v="0"/>
    <n v="99"/>
    <n v="1"/>
    <x v="2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x v="0"/>
    <x v="3"/>
    <s v="10+ yrs"/>
    <x v="0"/>
    <s v="Satisfied"/>
    <n v="158472"/>
  </r>
  <r>
    <n v="32"/>
    <x v="1"/>
    <s v="Travel_Rarely"/>
    <n v="801"/>
    <x v="0"/>
    <n v="1"/>
    <n v="4"/>
    <s v="Marketing"/>
    <n v="2016"/>
    <n v="3"/>
    <x v="0"/>
    <n v="48"/>
    <n v="3"/>
    <x v="2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x v="2"/>
    <x v="3"/>
    <s v="10+ yrs"/>
    <x v="0"/>
    <s v="Very Satisfied"/>
    <n v="125064"/>
  </r>
  <r>
    <n v="37"/>
    <x v="1"/>
    <s v="Travel_Rarely"/>
    <n v="161"/>
    <x v="1"/>
    <n v="10"/>
    <n v="3"/>
    <s v="Life Sciences"/>
    <n v="2017"/>
    <n v="3"/>
    <x v="0"/>
    <n v="42"/>
    <n v="4"/>
    <x v="2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x v="0"/>
    <x v="3"/>
    <s v="10+ yrs"/>
    <x v="1"/>
    <s v="Very Satisfied"/>
    <n v="164928"/>
  </r>
  <r>
    <n v="25"/>
    <x v="1"/>
    <s v="Travel_Rarely"/>
    <n v="1382"/>
    <x v="0"/>
    <n v="8"/>
    <n v="2"/>
    <s v="Other"/>
    <n v="2018"/>
    <n v="1"/>
    <x v="0"/>
    <n v="85"/>
    <n v="3"/>
    <x v="0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  <x v="3"/>
    <x v="0"/>
    <s v="3-5 yrs"/>
    <x v="1"/>
    <s v="Satisfied"/>
    <n v="58884"/>
  </r>
  <r>
    <n v="52"/>
    <x v="1"/>
    <s v="Non-Travel"/>
    <n v="585"/>
    <x v="0"/>
    <n v="29"/>
    <n v="4"/>
    <s v="Life Sciences"/>
    <n v="2019"/>
    <n v="1"/>
    <x v="1"/>
    <n v="40"/>
    <n v="3"/>
    <x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x v="1"/>
    <x v="0"/>
    <s v="6-10 yrs"/>
    <x v="0"/>
    <s v="Very Satisfied"/>
    <n v="41784"/>
  </r>
  <r>
    <n v="44"/>
    <x v="1"/>
    <s v="Travel_Rarely"/>
    <n v="1037"/>
    <x v="1"/>
    <n v="1"/>
    <n v="3"/>
    <s v="Medical"/>
    <n v="2020"/>
    <n v="2"/>
    <x v="1"/>
    <n v="42"/>
    <n v="3"/>
    <x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  <x v="0"/>
    <x v="1"/>
    <s v="3-5 yrs"/>
    <x v="0"/>
    <s v="Very Satisfied"/>
    <n v="29232"/>
  </r>
  <r>
    <n v="21"/>
    <x v="1"/>
    <s v="Travel_Rarely"/>
    <n v="501"/>
    <x v="0"/>
    <n v="5"/>
    <n v="1"/>
    <s v="Medical"/>
    <n v="2021"/>
    <n v="3"/>
    <x v="1"/>
    <n v="58"/>
    <n v="3"/>
    <x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  <x v="3"/>
    <x v="1"/>
    <s v="0-2 yrs"/>
    <x v="0"/>
    <s v="Very Dissatisfied"/>
    <n v="28560"/>
  </r>
  <r>
    <n v="39"/>
    <x v="1"/>
    <s v="Non-Travel"/>
    <n v="105"/>
    <x v="1"/>
    <n v="9"/>
    <n v="3"/>
    <s v="Life Sciences"/>
    <n v="2022"/>
    <n v="4"/>
    <x v="1"/>
    <n v="87"/>
    <n v="3"/>
    <x v="4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  <x v="0"/>
    <x v="3"/>
    <s v="6-10 yrs"/>
    <x v="0"/>
    <s v="Very Satisfied"/>
    <n v="233172"/>
  </r>
  <r>
    <n v="23"/>
    <x v="0"/>
    <s v="Travel_Frequently"/>
    <n v="638"/>
    <x v="0"/>
    <n v="9"/>
    <n v="3"/>
    <s v="Marketing"/>
    <n v="2023"/>
    <n v="4"/>
    <x v="1"/>
    <n v="33"/>
    <n v="3"/>
    <x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  <x v="3"/>
    <x v="1"/>
    <s v="0-2 yrs"/>
    <x v="0"/>
    <s v="Very Dissatisfied"/>
    <n v="21480"/>
  </r>
  <r>
    <n v="36"/>
    <x v="1"/>
    <s v="Travel_Rarely"/>
    <n v="557"/>
    <x v="0"/>
    <n v="3"/>
    <n v="3"/>
    <s v="Medical"/>
    <n v="2024"/>
    <n v="1"/>
    <x v="0"/>
    <n v="94"/>
    <n v="2"/>
    <x v="2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  <x v="0"/>
    <x v="2"/>
    <s v="6-10 yrs"/>
    <x v="0"/>
    <s v="Very Satisfied"/>
    <n v="91728"/>
  </r>
  <r>
    <n v="36"/>
    <x v="1"/>
    <s v="Travel_Frequently"/>
    <n v="688"/>
    <x v="1"/>
    <n v="4"/>
    <n v="2"/>
    <s v="Life Sciences"/>
    <n v="2025"/>
    <n v="4"/>
    <x v="0"/>
    <n v="97"/>
    <n v="3"/>
    <x v="0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  <x v="0"/>
    <x v="0"/>
    <s v="3-5 yrs"/>
    <x v="0"/>
    <s v="Dissatisfied"/>
    <n v="61572"/>
  </r>
  <r>
    <n v="56"/>
    <x v="1"/>
    <s v="Non-Travel"/>
    <n v="667"/>
    <x v="1"/>
    <n v="1"/>
    <n v="4"/>
    <s v="Life Sciences"/>
    <n v="2026"/>
    <n v="3"/>
    <x v="1"/>
    <n v="57"/>
    <n v="3"/>
    <x v="0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x v="1"/>
    <x v="2"/>
    <s v="10+ yrs"/>
    <x v="1"/>
    <s v="Satisfied"/>
    <n v="75672"/>
  </r>
  <r>
    <n v="29"/>
    <x v="0"/>
    <s v="Travel_Rarely"/>
    <n v="1092"/>
    <x v="1"/>
    <n v="1"/>
    <n v="4"/>
    <s v="Medical"/>
    <n v="2027"/>
    <n v="1"/>
    <x v="1"/>
    <n v="36"/>
    <n v="3"/>
    <x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  <x v="2"/>
    <x v="0"/>
    <s v="0-2 yrs"/>
    <x v="0"/>
    <s v="Very Satisfied"/>
    <n v="57444"/>
  </r>
  <r>
    <n v="42"/>
    <x v="1"/>
    <s v="Travel_Rarely"/>
    <n v="300"/>
    <x v="1"/>
    <n v="2"/>
    <n v="3"/>
    <s v="Life Sciences"/>
    <n v="2031"/>
    <n v="1"/>
    <x v="1"/>
    <n v="56"/>
    <n v="3"/>
    <x v="4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x v="0"/>
    <x v="3"/>
    <s v="10+ yrs"/>
    <x v="0"/>
    <s v="Satisfied"/>
    <n v="226560"/>
  </r>
  <r>
    <n v="56"/>
    <x v="0"/>
    <s v="Travel_Rarely"/>
    <n v="310"/>
    <x v="1"/>
    <n v="7"/>
    <n v="2"/>
    <s v="Technical Degree"/>
    <n v="2032"/>
    <n v="4"/>
    <x v="1"/>
    <n v="72"/>
    <n v="3"/>
    <x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  <x v="1"/>
    <x v="1"/>
    <s v="6-10 yrs"/>
    <x v="0"/>
    <s v="Satisfied"/>
    <n v="28068"/>
  </r>
  <r>
    <n v="41"/>
    <x v="1"/>
    <s v="Travel_Rarely"/>
    <n v="582"/>
    <x v="1"/>
    <n v="28"/>
    <n v="4"/>
    <s v="Life Sciences"/>
    <n v="2034"/>
    <n v="1"/>
    <x v="0"/>
    <n v="60"/>
    <n v="2"/>
    <x v="3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x v="0"/>
    <x v="3"/>
    <s v="10+ yrs"/>
    <x v="1"/>
    <s v="Dissatisfied"/>
    <n v="162840"/>
  </r>
  <r>
    <n v="34"/>
    <x v="1"/>
    <s v="Travel_Rarely"/>
    <n v="704"/>
    <x v="0"/>
    <n v="28"/>
    <n v="3"/>
    <s v="Marketing"/>
    <n v="2035"/>
    <n v="4"/>
    <x v="0"/>
    <n v="95"/>
    <n v="2"/>
    <x v="0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  <x v="2"/>
    <x v="2"/>
    <s v="6-10 yrs"/>
    <x v="1"/>
    <s v="Satisfied"/>
    <n v="80544"/>
  </r>
  <r>
    <n v="36"/>
    <x v="1"/>
    <s v="Non-Travel"/>
    <n v="301"/>
    <x v="0"/>
    <n v="15"/>
    <n v="4"/>
    <s v="Marketing"/>
    <n v="2036"/>
    <n v="4"/>
    <x v="1"/>
    <n v="88"/>
    <n v="1"/>
    <x v="0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x v="0"/>
    <x v="0"/>
    <s v="10+ yrs"/>
    <x v="1"/>
    <s v="Very Satisfied"/>
    <n v="64872"/>
  </r>
  <r>
    <n v="41"/>
    <x v="1"/>
    <s v="Travel_Rarely"/>
    <n v="930"/>
    <x v="0"/>
    <n v="3"/>
    <n v="3"/>
    <s v="Life Sciences"/>
    <n v="2037"/>
    <n v="3"/>
    <x v="1"/>
    <n v="57"/>
    <n v="2"/>
    <x v="0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x v="0"/>
    <x v="2"/>
    <s v="3-5 yrs"/>
    <x v="0"/>
    <s v="Dissatisfied"/>
    <n v="107256"/>
  </r>
  <r>
    <n v="32"/>
    <x v="1"/>
    <s v="Travel_Rarely"/>
    <n v="529"/>
    <x v="1"/>
    <n v="2"/>
    <n v="3"/>
    <s v="Technical Degree"/>
    <n v="2038"/>
    <n v="4"/>
    <x v="1"/>
    <n v="78"/>
    <n v="3"/>
    <x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  <x v="2"/>
    <x v="1"/>
    <s v="3-5 yrs"/>
    <x v="0"/>
    <s v="Very Dissatisfied"/>
    <n v="29268"/>
  </r>
  <r>
    <n v="35"/>
    <x v="1"/>
    <s v="Travel_Rarely"/>
    <n v="1146"/>
    <x v="2"/>
    <n v="26"/>
    <n v="4"/>
    <s v="Life Sciences"/>
    <n v="2040"/>
    <n v="3"/>
    <x v="0"/>
    <n v="31"/>
    <n v="3"/>
    <x v="2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  <x v="2"/>
    <x v="2"/>
    <s v="6-10 yrs"/>
    <x v="0"/>
    <s v="Very Satisfied"/>
    <n v="106044"/>
  </r>
  <r>
    <n v="38"/>
    <x v="1"/>
    <s v="Travel_Rarely"/>
    <n v="345"/>
    <x v="0"/>
    <n v="10"/>
    <n v="2"/>
    <s v="Life Sciences"/>
    <n v="2041"/>
    <n v="1"/>
    <x v="0"/>
    <n v="100"/>
    <n v="3"/>
    <x v="0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  <x v="0"/>
    <x v="0"/>
    <s v="6-10 yrs"/>
    <x v="0"/>
    <s v="Very Satisfied"/>
    <n v="64116"/>
  </r>
  <r>
    <n v="50"/>
    <x v="0"/>
    <s v="Travel_Frequently"/>
    <n v="878"/>
    <x v="0"/>
    <n v="1"/>
    <n v="4"/>
    <s v="Life Sciences"/>
    <n v="2044"/>
    <n v="2"/>
    <x v="1"/>
    <n v="94"/>
    <n v="3"/>
    <x v="0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x v="1"/>
    <x v="2"/>
    <s v="6-10 yrs"/>
    <x v="0"/>
    <s v="Satisfied"/>
    <n v="80736"/>
  </r>
  <r>
    <n v="36"/>
    <x v="1"/>
    <s v="Travel_Rarely"/>
    <n v="1120"/>
    <x v="0"/>
    <n v="11"/>
    <n v="4"/>
    <s v="Marketing"/>
    <n v="2045"/>
    <n v="2"/>
    <x v="0"/>
    <n v="100"/>
    <n v="2"/>
    <x v="0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  <x v="0"/>
    <x v="2"/>
    <s v="6-10 yrs"/>
    <x v="0"/>
    <s v="Very Satisfied"/>
    <n v="79824"/>
  </r>
  <r>
    <n v="45"/>
    <x v="1"/>
    <s v="Travel_Rarely"/>
    <n v="374"/>
    <x v="0"/>
    <n v="20"/>
    <n v="3"/>
    <s v="Life Sciences"/>
    <n v="2046"/>
    <n v="4"/>
    <x v="0"/>
    <n v="50"/>
    <n v="3"/>
    <x v="0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  <x v="0"/>
    <x v="0"/>
    <s v="3-5 yrs"/>
    <x v="0"/>
    <s v="Satisfied"/>
    <n v="58200"/>
  </r>
  <r>
    <n v="40"/>
    <x v="1"/>
    <s v="Travel_Rarely"/>
    <n v="1322"/>
    <x v="1"/>
    <n v="2"/>
    <n v="4"/>
    <s v="Life Sciences"/>
    <n v="2048"/>
    <n v="3"/>
    <x v="1"/>
    <n v="52"/>
    <n v="2"/>
    <x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  <x v="0"/>
    <x v="1"/>
    <s v="0-2 yrs"/>
    <x v="0"/>
    <s v="Satisfied"/>
    <n v="33708"/>
  </r>
  <r>
    <n v="35"/>
    <x v="1"/>
    <s v="Travel_Frequently"/>
    <n v="1199"/>
    <x v="1"/>
    <n v="18"/>
    <n v="4"/>
    <s v="Life Sciences"/>
    <n v="2049"/>
    <n v="3"/>
    <x v="1"/>
    <n v="80"/>
    <n v="3"/>
    <x v="0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x v="2"/>
    <x v="0"/>
    <s v="6-10 yrs"/>
    <x v="0"/>
    <s v="Satisfied"/>
    <n v="68268"/>
  </r>
  <r>
    <n v="40"/>
    <x v="1"/>
    <s v="Travel_Rarely"/>
    <n v="1194"/>
    <x v="1"/>
    <n v="2"/>
    <n v="4"/>
    <s v="Medical"/>
    <n v="2051"/>
    <n v="3"/>
    <x v="0"/>
    <n v="98"/>
    <n v="3"/>
    <x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  <x v="0"/>
    <x v="1"/>
    <s v="3-5 yrs"/>
    <x v="0"/>
    <s v="Satisfied"/>
    <n v="24012"/>
  </r>
  <r>
    <n v="35"/>
    <x v="1"/>
    <s v="Travel_Rarely"/>
    <n v="287"/>
    <x v="1"/>
    <n v="1"/>
    <n v="4"/>
    <s v="Life Sciences"/>
    <n v="2052"/>
    <n v="3"/>
    <x v="0"/>
    <n v="62"/>
    <n v="1"/>
    <x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  <x v="2"/>
    <x v="1"/>
    <s v="3-5 yrs"/>
    <x v="0"/>
    <s v="Very Satisfied"/>
    <n v="35724"/>
  </r>
  <r>
    <n v="29"/>
    <x v="1"/>
    <s v="Travel_Rarely"/>
    <n v="1378"/>
    <x v="1"/>
    <n v="13"/>
    <n v="2"/>
    <s v="Other"/>
    <n v="2053"/>
    <n v="4"/>
    <x v="1"/>
    <n v="46"/>
    <n v="2"/>
    <x v="0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  <x v="2"/>
    <x v="0"/>
    <s v="3-5 yrs"/>
    <x v="0"/>
    <s v="Dissatisfied"/>
    <n v="48300"/>
  </r>
  <r>
    <n v="29"/>
    <x v="1"/>
    <s v="Travel_Rarely"/>
    <n v="468"/>
    <x v="1"/>
    <n v="28"/>
    <n v="4"/>
    <s v="Medical"/>
    <n v="2054"/>
    <n v="4"/>
    <x v="0"/>
    <n v="73"/>
    <n v="2"/>
    <x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  <x v="2"/>
    <x v="0"/>
    <s v="3-5 yrs"/>
    <x v="0"/>
    <s v="Very Dissatisfied"/>
    <n v="45420"/>
  </r>
  <r>
    <n v="50"/>
    <x v="0"/>
    <s v="Travel_Rarely"/>
    <n v="410"/>
    <x v="0"/>
    <n v="28"/>
    <n v="3"/>
    <s v="Marketing"/>
    <n v="2055"/>
    <n v="4"/>
    <x v="1"/>
    <n v="39"/>
    <n v="2"/>
    <x v="2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x v="1"/>
    <x v="3"/>
    <s v="3-5 yrs"/>
    <x v="0"/>
    <s v="Very Dissatisfied"/>
    <n v="130248"/>
  </r>
  <r>
    <n v="39"/>
    <x v="1"/>
    <s v="Travel_Rarely"/>
    <n v="722"/>
    <x v="0"/>
    <n v="24"/>
    <n v="1"/>
    <s v="Marketing"/>
    <n v="2056"/>
    <n v="2"/>
    <x v="0"/>
    <n v="60"/>
    <n v="2"/>
    <x v="3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x v="0"/>
    <x v="3"/>
    <s v="10+ yrs"/>
    <x v="0"/>
    <s v="Very Satisfied"/>
    <n v="144372"/>
  </r>
  <r>
    <n v="31"/>
    <x v="1"/>
    <s v="Non-Travel"/>
    <n v="325"/>
    <x v="1"/>
    <n v="5"/>
    <n v="3"/>
    <s v="Medical"/>
    <n v="2057"/>
    <n v="2"/>
    <x v="1"/>
    <n v="74"/>
    <n v="3"/>
    <x v="0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  <x v="2"/>
    <x v="2"/>
    <s v="6-10 yrs"/>
    <x v="0"/>
    <s v="Very Dissatisfied"/>
    <n v="119232"/>
  </r>
  <r>
    <n v="26"/>
    <x v="1"/>
    <s v="Travel_Rarely"/>
    <n v="1167"/>
    <x v="0"/>
    <n v="5"/>
    <n v="3"/>
    <s v="Other"/>
    <n v="2060"/>
    <n v="4"/>
    <x v="0"/>
    <n v="30"/>
    <n v="2"/>
    <x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  <x v="2"/>
    <x v="1"/>
    <s v="3-5 yrs"/>
    <x v="0"/>
    <s v="Satisfied"/>
    <n v="35592"/>
  </r>
  <r>
    <n v="36"/>
    <x v="1"/>
    <s v="Travel_Frequently"/>
    <n v="884"/>
    <x v="1"/>
    <n v="23"/>
    <n v="2"/>
    <s v="Medical"/>
    <n v="2061"/>
    <n v="3"/>
    <x v="1"/>
    <n v="41"/>
    <n v="4"/>
    <x v="0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  <x v="0"/>
    <x v="1"/>
    <s v="3-5 yrs"/>
    <x v="0"/>
    <s v="Very Satisfied"/>
    <n v="30852"/>
  </r>
  <r>
    <n v="39"/>
    <x v="1"/>
    <s v="Travel_Rarely"/>
    <n v="613"/>
    <x v="1"/>
    <n v="6"/>
    <n v="1"/>
    <s v="Medical"/>
    <n v="2062"/>
    <n v="4"/>
    <x v="1"/>
    <n v="42"/>
    <n v="2"/>
    <x v="2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  <x v="0"/>
    <x v="2"/>
    <s v="6-10 yrs"/>
    <x v="0"/>
    <s v="Very Dissatisfied"/>
    <n v="119892"/>
  </r>
  <r>
    <n v="27"/>
    <x v="1"/>
    <s v="Travel_Rarely"/>
    <n v="155"/>
    <x v="1"/>
    <n v="4"/>
    <n v="3"/>
    <s v="Life Sciences"/>
    <n v="2064"/>
    <n v="2"/>
    <x v="1"/>
    <n v="87"/>
    <n v="4"/>
    <x v="0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  <x v="2"/>
    <x v="2"/>
    <s v="6-10 yrs"/>
    <x v="1"/>
    <s v="Dissatisfied"/>
    <n v="73704"/>
  </r>
  <r>
    <n v="49"/>
    <x v="1"/>
    <s v="Travel_Frequently"/>
    <n v="1023"/>
    <x v="0"/>
    <n v="2"/>
    <n v="3"/>
    <s v="Medical"/>
    <n v="2065"/>
    <n v="4"/>
    <x v="1"/>
    <n v="63"/>
    <n v="2"/>
    <x v="0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  <x v="1"/>
    <x v="0"/>
    <s v="6-10 yrs"/>
    <x v="0"/>
    <s v="Dissatisfied"/>
    <n v="64680"/>
  </r>
  <r>
    <n v="34"/>
    <x v="1"/>
    <s v="Travel_Rarely"/>
    <n v="628"/>
    <x v="1"/>
    <n v="8"/>
    <n v="3"/>
    <s v="Medical"/>
    <n v="2068"/>
    <n v="2"/>
    <x v="1"/>
    <n v="82"/>
    <n v="4"/>
    <x v="0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  <x v="2"/>
    <x v="0"/>
    <s v="3-5 yrs"/>
    <x v="0"/>
    <s v="Satisfied"/>
    <n v="528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F0C6D-3810-4B73-801D-18CB7D3205B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Number" fld="8" subtotal="count" baseField="33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6E934-1208-458D-970C-B09B2DAEAF3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38"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salary by department" fld="17" subtotal="average" baseField="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02BC0-2E55-42D6-8E2F-65E2387B1A2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1" firstDataRow="2" firstDataCol="1"/>
  <pivotFields count="38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m="1" x="2"/>
        <item x="1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5"/>
  </colFields>
  <colItems count="3">
    <i>
      <x/>
    </i>
    <i>
      <x v="3"/>
    </i>
    <i t="grand">
      <x/>
    </i>
  </colItems>
  <dataFields count="1">
    <dataField name="Count of EmployeeNumber" fld="8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2724B-C9A2-4AC9-B31F-4D4CE4017A0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Band">
  <location ref="A3:B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Number" fld="8" subtotal="count" baseField="32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2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537E1-B890-4C7D-986E-D9BA3A53EE6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MonthlyIncome" fld="17" subtotal="average" baseField="10" baseItem="0" numFmtId="1"/>
  </dataFields>
  <formats count="1"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C45F8-403C-4795-A41B-852E29D69DA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 rowPageCount="1" colPageCount="1"/>
  <pivotFields count="38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5967-4199-464B-A464-056C6A79FB00}">
  <dimension ref="A1:AI1471"/>
  <sheetViews>
    <sheetView topLeftCell="E1" workbookViewId="0"/>
  </sheetViews>
  <sheetFormatPr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2D07-90B6-45EF-862F-36CA6D7D49B6}">
  <dimension ref="A1:AB2"/>
  <sheetViews>
    <sheetView tabSelected="1" zoomScaleNormal="100" workbookViewId="0">
      <selection activeCell="J1" sqref="J1"/>
    </sheetView>
  </sheetViews>
  <sheetFormatPr defaultRowHeight="14.4"/>
  <cols>
    <col min="1" max="27" width="8.88671875" style="4"/>
    <col min="28" max="28" width="9.44140625" style="4" bestFit="1" customWidth="1"/>
    <col min="29" max="16384" width="8.88671875" style="4"/>
  </cols>
  <sheetData>
    <row r="1" spans="1:28" ht="45.6" customHeight="1">
      <c r="A1" s="5" t="s">
        <v>86</v>
      </c>
      <c r="AA1" s="8">
        <f>COUNTA('Working Data'!B2:B1471)</f>
        <v>1470</v>
      </c>
      <c r="AB1" s="9">
        <f>AVERAGE('Working Data'!R2:R1471)</f>
        <v>6502.931292517007</v>
      </c>
    </row>
    <row r="2" spans="1:28">
      <c r="AA2" s="10">
        <f>AVERAGE('Working Data'!W2:W1471)</f>
        <v>3.1537414965986397</v>
      </c>
      <c r="AB2" s="11">
        <f>COUNTIF('Working Data'!B2:B1471,"Yes")/COUNTA('Working Data'!B2:B1471)</f>
        <v>0.16122448979591836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28DA-322D-46B4-86EE-E24037F001D3}">
  <dimension ref="A3:B8"/>
  <sheetViews>
    <sheetView workbookViewId="0">
      <selection activeCell="A10" sqref="A10"/>
    </sheetView>
  </sheetViews>
  <sheetFormatPr defaultRowHeight="14.4"/>
  <cols>
    <col min="1" max="1" width="14.33203125" bestFit="1" customWidth="1"/>
    <col min="2" max="2" width="24.33203125" bestFit="1" customWidth="1"/>
  </cols>
  <sheetData>
    <row r="3" spans="1:2">
      <c r="A3" s="2" t="s">
        <v>68</v>
      </c>
      <c r="B3" t="s">
        <v>76</v>
      </c>
    </row>
    <row r="4" spans="1:2">
      <c r="A4" s="3" t="s">
        <v>83</v>
      </c>
      <c r="B4" s="7">
        <v>395</v>
      </c>
    </row>
    <row r="5" spans="1:2">
      <c r="A5" s="3" t="s">
        <v>84</v>
      </c>
      <c r="B5" s="7">
        <v>519</v>
      </c>
    </row>
    <row r="6" spans="1:2">
      <c r="A6" s="3" t="s">
        <v>82</v>
      </c>
      <c r="B6" s="7">
        <v>275</v>
      </c>
    </row>
    <row r="7" spans="1:2">
      <c r="A7" s="3" t="s">
        <v>85</v>
      </c>
      <c r="B7" s="7">
        <v>281</v>
      </c>
    </row>
    <row r="8" spans="1:2">
      <c r="A8" s="3" t="s">
        <v>69</v>
      </c>
      <c r="B8" s="7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614B-CD1C-4AF8-98CF-BC872DFD6B10}">
  <dimension ref="A1:AO1471"/>
  <sheetViews>
    <sheetView workbookViewId="0">
      <selection activeCell="AJ9" sqref="AJ9"/>
    </sheetView>
  </sheetViews>
  <sheetFormatPr defaultRowHeight="14.4"/>
  <cols>
    <col min="3" max="3" width="15.6640625" bestFit="1" customWidth="1"/>
    <col min="16" max="16" width="13.44140625" bestFit="1" customWidth="1"/>
    <col min="18" max="18" width="14" bestFit="1" customWidth="1"/>
    <col min="23" max="23" width="16.77734375" bestFit="1" customWidth="1"/>
    <col min="25" max="25" width="15.33203125" bestFit="1" customWidth="1"/>
    <col min="27" max="27" width="19.44140625" bestFit="1" customWidth="1"/>
    <col min="28" max="29" width="15" bestFit="1" customWidth="1"/>
    <col min="30" max="30" width="16.88671875" bestFit="1" customWidth="1"/>
    <col min="31" max="31" width="22" bestFit="1" customWidth="1"/>
    <col min="32" max="32" width="20.21875" bestFit="1" customWidth="1"/>
    <col min="34" max="34" width="14.33203125" bestFit="1" customWidth="1"/>
    <col min="35" max="35" width="12.109375" bestFit="1" customWidth="1"/>
    <col min="36" max="36" width="16.44140625" bestFit="1" customWidth="1"/>
    <col min="37" max="37" width="15.6640625" bestFit="1" customWidth="1"/>
    <col min="38" max="38" width="13.21875" bestFit="1" customWidth="1"/>
    <col min="40" max="40" width="15.8867187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s="1" t="s">
        <v>67</v>
      </c>
    </row>
    <row r="2" spans="1:41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IF(A2&lt;=25,"20-25",IF(A2&lt;=35,"26-35",IF(A2&lt;=45,"36-45","46+")))</f>
        <v>36-45</v>
      </c>
      <c r="AH2" t="str">
        <f>IF(R2&lt;=3000,"Low (0-3K)",IF(R2&lt;=6000,"Mid (3-6K)",IF(R2&lt;=10000,"High (6-10K)","Very High (10K+)")))</f>
        <v>Mid (3-6K)</v>
      </c>
      <c r="AI2" t="str">
        <f>IF(AC2&lt;=2,"0-2 yrs",IF(AC2&lt;=5,"3-5 yrs",IF(AC2&lt;=10,"6-10 yrs","10+ yrs")))</f>
        <v>6-10 yrs</v>
      </c>
      <c r="AJ2" t="str">
        <f>IF(W2=4,"Excellent",IF(W2=3,"Good",IF(W2=2,"Needs Improvement","Poor")))</f>
        <v>Good</v>
      </c>
      <c r="AK2" t="str">
        <f>IF(P2=4,"Very Satisfied",IF(P2=3,"Satisfied",IF(P2=2,"Dissatisfied","Very Dissatisfied")))</f>
        <v>Very Satisfied</v>
      </c>
      <c r="AL2">
        <f>R2*12</f>
        <v>71916</v>
      </c>
    </row>
    <row r="3" spans="1:41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ref="AG3:AG66" si="0">IF(A3&lt;=25,"20-25",IF(A3&lt;=35,"26-35",IF(A3&lt;=45,"36-45","46+")))</f>
        <v>46+</v>
      </c>
      <c r="AH3" t="str">
        <f t="shared" ref="AH3:AH66" si="1">IF(R3&lt;=3000,"Low (0-3K)",IF(R3&lt;=6000,"Mid (3-6K)",IF(R3&lt;=10000,"High (6-10K)","Very High (10K+)")))</f>
        <v>Mid (3-6K)</v>
      </c>
      <c r="AI3" t="str">
        <f t="shared" ref="AI3:AI66" si="2">IF(AC3&lt;=2,"0-2 yrs",IF(AC3&lt;=5,"3-5 yrs",IF(AC3&lt;=10,"6-10 yrs","10+ yrs")))</f>
        <v>6-10 yrs</v>
      </c>
      <c r="AJ3" t="str">
        <f t="shared" ref="AJ3:AJ66" si="3">IF(W3=4,"Excellent",IF(W3=3,"Good",IF(W3=2,"Needs Improvement","Poor")))</f>
        <v>Excellent</v>
      </c>
      <c r="AK3" t="str">
        <f t="shared" ref="AK3:AK66" si="4">IF(P3=4,"Very Satisfied",IF(P3=3,"Satisfied",IF(P3=2,"Dissatisfied","Very Dissatisfied")))</f>
        <v>Dissatisfied</v>
      </c>
      <c r="AL3">
        <f t="shared" ref="AL3:AL66" si="5">R3*12</f>
        <v>61560</v>
      </c>
      <c r="AN3" t="s">
        <v>81</v>
      </c>
    </row>
    <row r="4" spans="1:41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36-45</v>
      </c>
      <c r="AH4" t="str">
        <f t="shared" si="1"/>
        <v>Low (0-3K)</v>
      </c>
      <c r="AI4" t="str">
        <f t="shared" si="2"/>
        <v>0-2 yrs</v>
      </c>
      <c r="AJ4" t="str">
        <f t="shared" si="3"/>
        <v>Good</v>
      </c>
      <c r="AK4" t="str">
        <f t="shared" si="4"/>
        <v>Satisfied</v>
      </c>
      <c r="AL4">
        <f t="shared" si="5"/>
        <v>25080</v>
      </c>
      <c r="AN4">
        <f>COUNTIF('Working Data'!AH:AH,"Low (0-3K)")</f>
        <v>395</v>
      </c>
      <c r="AO4">
        <f>COUNTIF('Working Data'!AG:AG,"20-25")</f>
        <v>123</v>
      </c>
    </row>
    <row r="5" spans="1:41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26-35</v>
      </c>
      <c r="AH5" t="str">
        <f t="shared" si="1"/>
        <v>Low (0-3K)</v>
      </c>
      <c r="AI5" t="str">
        <f t="shared" si="2"/>
        <v>6-10 yrs</v>
      </c>
      <c r="AJ5" t="str">
        <f t="shared" si="3"/>
        <v>Good</v>
      </c>
      <c r="AK5" t="str">
        <f t="shared" si="4"/>
        <v>Satisfied</v>
      </c>
      <c r="AL5">
        <f t="shared" si="5"/>
        <v>34908</v>
      </c>
      <c r="AN5">
        <f>COUNTIF('Working Data'!AH:AH,"Mid (3-6K)")</f>
        <v>519</v>
      </c>
      <c r="AO5">
        <f>COUNTIF('Working Data'!AG:AG,"26-35")</f>
        <v>606</v>
      </c>
    </row>
    <row r="6" spans="1:41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26-35</v>
      </c>
      <c r="AH6" t="str">
        <f t="shared" si="1"/>
        <v>Mid (3-6K)</v>
      </c>
      <c r="AI6" t="str">
        <f t="shared" si="2"/>
        <v>0-2 yrs</v>
      </c>
      <c r="AJ6" t="str">
        <f t="shared" si="3"/>
        <v>Good</v>
      </c>
      <c r="AK6" t="str">
        <f t="shared" si="4"/>
        <v>Dissatisfied</v>
      </c>
      <c r="AL6">
        <f t="shared" si="5"/>
        <v>41616</v>
      </c>
      <c r="AN6">
        <f>COUNTIF('Working Data'!AH:AH,"High (6-10K)")</f>
        <v>275</v>
      </c>
      <c r="AO6">
        <f>COUNTIF('Working Data'!AG:AG,"36-45")</f>
        <v>468</v>
      </c>
    </row>
    <row r="7" spans="1:41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26-35</v>
      </c>
      <c r="AH7" t="str">
        <f t="shared" si="1"/>
        <v>Mid (3-6K)</v>
      </c>
      <c r="AI7" t="str">
        <f t="shared" si="2"/>
        <v>6-10 yrs</v>
      </c>
      <c r="AJ7" t="str">
        <f t="shared" si="3"/>
        <v>Good</v>
      </c>
      <c r="AK7" t="str">
        <f t="shared" si="4"/>
        <v>Very Satisfied</v>
      </c>
      <c r="AL7">
        <f t="shared" si="5"/>
        <v>36816</v>
      </c>
      <c r="AN7">
        <f>COUNTIF('Working Data'!AH:AH,"Very High (10K+)")</f>
        <v>281</v>
      </c>
      <c r="AO7">
        <f>COUNTIF('Working Data'!AG:AG,"46+")</f>
        <v>273</v>
      </c>
    </row>
    <row r="8" spans="1:41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46+</v>
      </c>
      <c r="AH8" t="str">
        <f t="shared" si="1"/>
        <v>Low (0-3K)</v>
      </c>
      <c r="AI8" t="str">
        <f t="shared" si="2"/>
        <v>0-2 yrs</v>
      </c>
      <c r="AJ8" t="str">
        <f t="shared" si="3"/>
        <v>Excellent</v>
      </c>
      <c r="AK8" t="str">
        <f t="shared" si="4"/>
        <v>Very Dissatisfied</v>
      </c>
      <c r="AL8">
        <f t="shared" si="5"/>
        <v>32040</v>
      </c>
    </row>
    <row r="9" spans="1:41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26-35</v>
      </c>
      <c r="AH9" t="str">
        <f t="shared" si="1"/>
        <v>Low (0-3K)</v>
      </c>
      <c r="AI9" t="str">
        <f t="shared" si="2"/>
        <v>0-2 yrs</v>
      </c>
      <c r="AJ9" t="str">
        <f t="shared" si="3"/>
        <v>Excellent</v>
      </c>
      <c r="AK9" t="str">
        <f t="shared" si="4"/>
        <v>Satisfied</v>
      </c>
      <c r="AL9">
        <f t="shared" si="5"/>
        <v>32316</v>
      </c>
    </row>
    <row r="10" spans="1:41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36-45</v>
      </c>
      <c r="AH10" t="str">
        <f t="shared" si="1"/>
        <v>High (6-10K)</v>
      </c>
      <c r="AI10" t="str">
        <f t="shared" si="2"/>
        <v>6-10 yrs</v>
      </c>
      <c r="AJ10" t="str">
        <f t="shared" si="3"/>
        <v>Excellent</v>
      </c>
      <c r="AK10" t="str">
        <f t="shared" si="4"/>
        <v>Satisfied</v>
      </c>
      <c r="AL10">
        <f t="shared" si="5"/>
        <v>114312</v>
      </c>
    </row>
    <row r="11" spans="1:41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36-45</v>
      </c>
      <c r="AH11" t="str">
        <f t="shared" si="1"/>
        <v>Mid (3-6K)</v>
      </c>
      <c r="AI11" t="str">
        <f t="shared" si="2"/>
        <v>6-10 yrs</v>
      </c>
      <c r="AJ11" t="str">
        <f t="shared" si="3"/>
        <v>Good</v>
      </c>
      <c r="AK11" t="str">
        <f t="shared" si="4"/>
        <v>Satisfied</v>
      </c>
      <c r="AL11">
        <f t="shared" si="5"/>
        <v>62844</v>
      </c>
    </row>
    <row r="12" spans="1:41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26-35</v>
      </c>
      <c r="AH12" t="str">
        <f t="shared" si="1"/>
        <v>Low (0-3K)</v>
      </c>
      <c r="AI12" t="str">
        <f t="shared" si="2"/>
        <v>3-5 yrs</v>
      </c>
      <c r="AJ12" t="str">
        <f t="shared" si="3"/>
        <v>Good</v>
      </c>
      <c r="AK12" t="str">
        <f t="shared" si="4"/>
        <v>Dissatisfied</v>
      </c>
      <c r="AL12">
        <f t="shared" si="5"/>
        <v>29112</v>
      </c>
    </row>
    <row r="13" spans="1:41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26-35</v>
      </c>
      <c r="AH13" t="str">
        <f t="shared" si="1"/>
        <v>Mid (3-6K)</v>
      </c>
      <c r="AI13" t="str">
        <f t="shared" si="2"/>
        <v>6-10 yrs</v>
      </c>
      <c r="AJ13" t="str">
        <f t="shared" si="3"/>
        <v>Good</v>
      </c>
      <c r="AK13" t="str">
        <f t="shared" si="4"/>
        <v>Satisfied</v>
      </c>
      <c r="AL13">
        <f t="shared" si="5"/>
        <v>50316</v>
      </c>
    </row>
    <row r="14" spans="1:41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26-35</v>
      </c>
      <c r="AH14" t="str">
        <f t="shared" si="1"/>
        <v>Low (0-3K)</v>
      </c>
      <c r="AI14" t="str">
        <f t="shared" si="2"/>
        <v>3-5 yrs</v>
      </c>
      <c r="AJ14" t="str">
        <f t="shared" si="3"/>
        <v>Good</v>
      </c>
      <c r="AK14" t="str">
        <f t="shared" si="4"/>
        <v>Satisfied</v>
      </c>
      <c r="AL14">
        <f t="shared" si="5"/>
        <v>34932</v>
      </c>
    </row>
    <row r="15" spans="1:41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26-35</v>
      </c>
      <c r="AH15" t="str">
        <f t="shared" si="1"/>
        <v>Low (0-3K)</v>
      </c>
      <c r="AI15" t="str">
        <f t="shared" si="2"/>
        <v>0-2 yrs</v>
      </c>
      <c r="AJ15" t="str">
        <f t="shared" si="3"/>
        <v>Good</v>
      </c>
      <c r="AK15" t="str">
        <f t="shared" si="4"/>
        <v>Very Satisfied</v>
      </c>
      <c r="AL15">
        <f t="shared" si="5"/>
        <v>31932</v>
      </c>
    </row>
    <row r="16" spans="1:41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26-35</v>
      </c>
      <c r="AH16" t="str">
        <f t="shared" si="1"/>
        <v>Low (0-3K)</v>
      </c>
      <c r="AI16" t="str">
        <f t="shared" si="2"/>
        <v>3-5 yrs</v>
      </c>
      <c r="AJ16" t="str">
        <f t="shared" si="3"/>
        <v>Good</v>
      </c>
      <c r="AK16" t="str">
        <f t="shared" si="4"/>
        <v>Satisfied</v>
      </c>
      <c r="AL16">
        <f t="shared" si="5"/>
        <v>24336</v>
      </c>
    </row>
    <row r="17" spans="1:38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26-35</v>
      </c>
      <c r="AH17" t="str">
        <f t="shared" si="1"/>
        <v>High (6-10K)</v>
      </c>
      <c r="AI17" t="str">
        <f t="shared" si="2"/>
        <v>6-10 yrs</v>
      </c>
      <c r="AJ17" t="str">
        <f t="shared" si="3"/>
        <v>Good</v>
      </c>
      <c r="AK17" t="str">
        <f t="shared" si="4"/>
        <v>Very Dissatisfied</v>
      </c>
      <c r="AL17">
        <f t="shared" si="5"/>
        <v>119760</v>
      </c>
    </row>
    <row r="18" spans="1:38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26-35</v>
      </c>
      <c r="AH18" t="str">
        <f t="shared" si="1"/>
        <v>Mid (3-6K)</v>
      </c>
      <c r="AI18" t="str">
        <f t="shared" si="2"/>
        <v>6-10 yrs</v>
      </c>
      <c r="AJ18" t="str">
        <f t="shared" si="3"/>
        <v>Good</v>
      </c>
      <c r="AK18" t="str">
        <f t="shared" si="4"/>
        <v>Dissatisfied</v>
      </c>
      <c r="AL18">
        <f t="shared" si="5"/>
        <v>39576</v>
      </c>
    </row>
    <row r="19" spans="1:38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20-25</v>
      </c>
      <c r="AH19" t="str">
        <f t="shared" si="1"/>
        <v>Low (0-3K)</v>
      </c>
      <c r="AI19" t="str">
        <f t="shared" si="2"/>
        <v>0-2 yrs</v>
      </c>
      <c r="AJ19" t="str">
        <f t="shared" si="3"/>
        <v>Good</v>
      </c>
      <c r="AK19" t="str">
        <f t="shared" si="4"/>
        <v>Very Satisfied</v>
      </c>
      <c r="AL19">
        <f t="shared" si="5"/>
        <v>35220</v>
      </c>
    </row>
    <row r="20" spans="1:38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46+</v>
      </c>
      <c r="AH20" t="str">
        <f t="shared" si="1"/>
        <v>Very High (10K+)</v>
      </c>
      <c r="AI20" t="str">
        <f t="shared" si="2"/>
        <v>10+ yrs</v>
      </c>
      <c r="AJ20" t="str">
        <f t="shared" si="3"/>
        <v>Good</v>
      </c>
      <c r="AK20" t="str">
        <f t="shared" si="4"/>
        <v>Very Satisfied</v>
      </c>
      <c r="AL20">
        <f t="shared" si="5"/>
        <v>185124</v>
      </c>
    </row>
    <row r="21" spans="1:38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36-45</v>
      </c>
      <c r="AH21" t="str">
        <f t="shared" si="1"/>
        <v>Mid (3-6K)</v>
      </c>
      <c r="AI21" t="str">
        <f t="shared" si="2"/>
        <v>3-5 yrs</v>
      </c>
      <c r="AJ21" t="str">
        <f t="shared" si="3"/>
        <v>Good</v>
      </c>
      <c r="AK21" t="str">
        <f t="shared" si="4"/>
        <v>Very Satisfied</v>
      </c>
      <c r="AL21">
        <f t="shared" si="5"/>
        <v>47328</v>
      </c>
    </row>
    <row r="22" spans="1:38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20-25</v>
      </c>
      <c r="AH22" t="str">
        <f t="shared" si="1"/>
        <v>Mid (3-6K)</v>
      </c>
      <c r="AI22" t="str">
        <f t="shared" si="2"/>
        <v>3-5 yrs</v>
      </c>
      <c r="AJ22" t="str">
        <f t="shared" si="3"/>
        <v>Good</v>
      </c>
      <c r="AK22" t="str">
        <f t="shared" si="4"/>
        <v>Satisfied</v>
      </c>
      <c r="AL22">
        <f t="shared" si="5"/>
        <v>48132</v>
      </c>
    </row>
    <row r="23" spans="1:38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36-45</v>
      </c>
      <c r="AH23" t="str">
        <f t="shared" si="1"/>
        <v>Mid (3-6K)</v>
      </c>
      <c r="AI23" t="str">
        <f t="shared" si="2"/>
        <v>3-5 yrs</v>
      </c>
      <c r="AJ23" t="str">
        <f t="shared" si="3"/>
        <v>Excellent</v>
      </c>
      <c r="AK23" t="str">
        <f t="shared" si="4"/>
        <v>Very Dissatisfied</v>
      </c>
      <c r="AL23">
        <f t="shared" si="5"/>
        <v>40884</v>
      </c>
    </row>
    <row r="24" spans="1:38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26-35</v>
      </c>
      <c r="AH24" t="str">
        <f t="shared" si="1"/>
        <v>Very High (10K+)</v>
      </c>
      <c r="AI24" t="str">
        <f t="shared" si="2"/>
        <v>10+ yrs</v>
      </c>
      <c r="AJ24" t="str">
        <f t="shared" si="3"/>
        <v>Good</v>
      </c>
      <c r="AK24" t="str">
        <f t="shared" si="4"/>
        <v>Dissatisfied</v>
      </c>
      <c r="AL24">
        <f t="shared" si="5"/>
        <v>143928</v>
      </c>
    </row>
    <row r="25" spans="1:38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20-25</v>
      </c>
      <c r="AH25" t="str">
        <f t="shared" si="1"/>
        <v>Low (0-3K)</v>
      </c>
      <c r="AI25" t="str">
        <f t="shared" si="2"/>
        <v>0-2 yrs</v>
      </c>
      <c r="AJ25" t="str">
        <f t="shared" si="3"/>
        <v>Good</v>
      </c>
      <c r="AK25" t="str">
        <f t="shared" si="4"/>
        <v>Very Satisfied</v>
      </c>
      <c r="AL25">
        <f t="shared" si="5"/>
        <v>14784</v>
      </c>
    </row>
    <row r="26" spans="1:38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26-35</v>
      </c>
      <c r="AH26" t="str">
        <f t="shared" si="1"/>
        <v>Low (0-3K)</v>
      </c>
      <c r="AI26" t="str">
        <f t="shared" si="2"/>
        <v>3-5 yrs</v>
      </c>
      <c r="AJ26" t="str">
        <f t="shared" si="3"/>
        <v>Good</v>
      </c>
      <c r="AK26" t="str">
        <f t="shared" si="4"/>
        <v>Very Dissatisfied</v>
      </c>
      <c r="AL26">
        <f t="shared" si="5"/>
        <v>35520</v>
      </c>
    </row>
    <row r="27" spans="1:38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46+</v>
      </c>
      <c r="AH27" t="str">
        <f t="shared" si="1"/>
        <v>Very High (10K+)</v>
      </c>
      <c r="AI27" t="str">
        <f t="shared" si="2"/>
        <v>10+ yrs</v>
      </c>
      <c r="AJ27" t="str">
        <f t="shared" si="3"/>
        <v>Good</v>
      </c>
      <c r="AK27" t="str">
        <f t="shared" si="4"/>
        <v>Satisfied</v>
      </c>
      <c r="AL27">
        <f t="shared" si="5"/>
        <v>229128</v>
      </c>
    </row>
    <row r="28" spans="1:38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26-35</v>
      </c>
      <c r="AH28" t="str">
        <f t="shared" si="1"/>
        <v>Mid (3-6K)</v>
      </c>
      <c r="AI28" t="str">
        <f t="shared" si="2"/>
        <v>6-10 yrs</v>
      </c>
      <c r="AJ28" t="str">
        <f t="shared" si="3"/>
        <v>Excellent</v>
      </c>
      <c r="AK28" t="str">
        <f t="shared" si="4"/>
        <v>Very Dissatisfied</v>
      </c>
      <c r="AL28">
        <f t="shared" si="5"/>
        <v>47028</v>
      </c>
    </row>
    <row r="29" spans="1:38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36-45</v>
      </c>
      <c r="AH29" t="str">
        <f t="shared" si="1"/>
        <v>High (6-10K)</v>
      </c>
      <c r="AI29" t="str">
        <f t="shared" si="2"/>
        <v>6-10 yrs</v>
      </c>
      <c r="AJ29" t="str">
        <f t="shared" si="3"/>
        <v>Good</v>
      </c>
      <c r="AK29" t="str">
        <f t="shared" si="4"/>
        <v>Dissatisfied</v>
      </c>
      <c r="AL29">
        <f t="shared" si="5"/>
        <v>81900</v>
      </c>
    </row>
    <row r="30" spans="1:38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36-45</v>
      </c>
      <c r="AH30" t="str">
        <f t="shared" si="1"/>
        <v>Very High (10K+)</v>
      </c>
      <c r="AI30" t="str">
        <f t="shared" si="2"/>
        <v>10+ yrs</v>
      </c>
      <c r="AJ30" t="str">
        <f t="shared" si="3"/>
        <v>Good</v>
      </c>
      <c r="AK30" t="str">
        <f t="shared" si="4"/>
        <v>Very Satisfied</v>
      </c>
      <c r="AL30">
        <f t="shared" si="5"/>
        <v>122976</v>
      </c>
    </row>
    <row r="31" spans="1:38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46+</v>
      </c>
      <c r="AH31" t="str">
        <f t="shared" si="1"/>
        <v>Very High (10K+)</v>
      </c>
      <c r="AI31" t="str">
        <f t="shared" si="2"/>
        <v>0-2 yrs</v>
      </c>
      <c r="AJ31" t="str">
        <f t="shared" si="3"/>
        <v>Good</v>
      </c>
      <c r="AK31" t="str">
        <f t="shared" si="4"/>
        <v>Very Dissatisfied</v>
      </c>
      <c r="AL31">
        <f t="shared" si="5"/>
        <v>227364</v>
      </c>
    </row>
    <row r="32" spans="1:38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26-35</v>
      </c>
      <c r="AH32" t="str">
        <f t="shared" si="1"/>
        <v>Low (0-3K)</v>
      </c>
      <c r="AI32" t="str">
        <f t="shared" si="2"/>
        <v>0-2 yrs</v>
      </c>
      <c r="AJ32" t="str">
        <f t="shared" si="3"/>
        <v>Good</v>
      </c>
      <c r="AK32" t="str">
        <f t="shared" si="4"/>
        <v>Very Satisfied</v>
      </c>
      <c r="AL32">
        <f t="shared" si="5"/>
        <v>29952</v>
      </c>
    </row>
    <row r="33" spans="1:38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36-45</v>
      </c>
      <c r="AH33" t="str">
        <f t="shared" si="1"/>
        <v>High (6-10K)</v>
      </c>
      <c r="AI33" t="str">
        <f t="shared" si="2"/>
        <v>3-5 yrs</v>
      </c>
      <c r="AJ33" t="str">
        <f t="shared" si="3"/>
        <v>Good</v>
      </c>
      <c r="AK33" t="str">
        <f t="shared" si="4"/>
        <v>Very Satisfied</v>
      </c>
      <c r="AL33">
        <f t="shared" si="5"/>
        <v>77580</v>
      </c>
    </row>
    <row r="34" spans="1:38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26-35</v>
      </c>
      <c r="AH34" t="str">
        <f t="shared" si="1"/>
        <v>Low (0-3K)</v>
      </c>
      <c r="AI34" t="str">
        <f t="shared" si="2"/>
        <v>6-10 yrs</v>
      </c>
      <c r="AJ34" t="str">
        <f t="shared" si="3"/>
        <v>Good</v>
      </c>
      <c r="AK34" t="str">
        <f t="shared" si="4"/>
        <v>Satisfied</v>
      </c>
      <c r="AL34">
        <f t="shared" si="5"/>
        <v>26472</v>
      </c>
    </row>
    <row r="35" spans="1:38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36-45</v>
      </c>
      <c r="AH35" t="str">
        <f t="shared" si="1"/>
        <v>Low (0-3K)</v>
      </c>
      <c r="AI35" t="str">
        <f t="shared" si="2"/>
        <v>0-2 yrs</v>
      </c>
      <c r="AJ35" t="str">
        <f t="shared" si="3"/>
        <v>Good</v>
      </c>
      <c r="AK35" t="str">
        <f t="shared" si="4"/>
        <v>Very Satisfied</v>
      </c>
      <c r="AL35">
        <f t="shared" si="5"/>
        <v>25032</v>
      </c>
    </row>
    <row r="36" spans="1:38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20-25</v>
      </c>
      <c r="AH36" t="str">
        <f t="shared" si="1"/>
        <v>Low (0-3K)</v>
      </c>
      <c r="AI36" t="str">
        <f t="shared" si="2"/>
        <v>0-2 yrs</v>
      </c>
      <c r="AJ36" t="str">
        <f t="shared" si="3"/>
        <v>Good</v>
      </c>
      <c r="AK36" t="str">
        <f t="shared" si="4"/>
        <v>Very Satisfied</v>
      </c>
      <c r="AL36">
        <f t="shared" si="5"/>
        <v>27516</v>
      </c>
    </row>
    <row r="37" spans="1:38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36-45</v>
      </c>
      <c r="AH37" t="str">
        <f t="shared" si="1"/>
        <v>Low (0-3K)</v>
      </c>
      <c r="AI37" t="str">
        <f t="shared" si="2"/>
        <v>3-5 yrs</v>
      </c>
      <c r="AJ37" t="str">
        <f t="shared" si="3"/>
        <v>Good</v>
      </c>
      <c r="AK37" t="str">
        <f t="shared" si="4"/>
        <v>Satisfied</v>
      </c>
      <c r="AL37">
        <f t="shared" si="5"/>
        <v>31740</v>
      </c>
    </row>
    <row r="38" spans="1:38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46+</v>
      </c>
      <c r="AH38" t="str">
        <f t="shared" si="1"/>
        <v>Low (0-3K)</v>
      </c>
      <c r="AI38" t="str">
        <f t="shared" si="2"/>
        <v>3-5 yrs</v>
      </c>
      <c r="AJ38" t="str">
        <f t="shared" si="3"/>
        <v>Good</v>
      </c>
      <c r="AK38" t="str">
        <f t="shared" si="4"/>
        <v>Satisfied</v>
      </c>
      <c r="AL38">
        <f t="shared" si="5"/>
        <v>32196</v>
      </c>
    </row>
    <row r="39" spans="1:38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26-35</v>
      </c>
      <c r="AH39" t="str">
        <f t="shared" si="1"/>
        <v>Low (0-3K)</v>
      </c>
      <c r="AI39" t="str">
        <f t="shared" si="2"/>
        <v>0-2 yrs</v>
      </c>
      <c r="AJ39" t="str">
        <f t="shared" si="3"/>
        <v>Good</v>
      </c>
      <c r="AK39" t="str">
        <f t="shared" si="4"/>
        <v>Very Satisfied</v>
      </c>
      <c r="AL39">
        <f t="shared" si="5"/>
        <v>24168</v>
      </c>
    </row>
    <row r="40" spans="1:38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36-45</v>
      </c>
      <c r="AH40" t="str">
        <f t="shared" si="1"/>
        <v>Mid (3-6K)</v>
      </c>
      <c r="AI40" t="str">
        <f t="shared" si="2"/>
        <v>0-2 yrs</v>
      </c>
      <c r="AJ40" t="str">
        <f t="shared" si="3"/>
        <v>Good</v>
      </c>
      <c r="AK40" t="str">
        <f t="shared" si="4"/>
        <v>Very Dissatisfied</v>
      </c>
      <c r="AL40">
        <f t="shared" si="5"/>
        <v>41028</v>
      </c>
    </row>
    <row r="41" spans="1:38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26-35</v>
      </c>
      <c r="AH41" t="str">
        <f t="shared" si="1"/>
        <v>Mid (3-6K)</v>
      </c>
      <c r="AI41" t="str">
        <f t="shared" si="2"/>
        <v>3-5 yrs</v>
      </c>
      <c r="AJ41" t="str">
        <f t="shared" si="3"/>
        <v>Good</v>
      </c>
      <c r="AK41" t="str">
        <f t="shared" si="4"/>
        <v>Very Dissatisfied</v>
      </c>
      <c r="AL41">
        <f t="shared" si="5"/>
        <v>64512</v>
      </c>
    </row>
    <row r="42" spans="1:38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26-35</v>
      </c>
      <c r="AH42" t="str">
        <f t="shared" si="1"/>
        <v>Low (0-3K)</v>
      </c>
      <c r="AI42" t="str">
        <f t="shared" si="2"/>
        <v>0-2 yrs</v>
      </c>
      <c r="AJ42" t="str">
        <f t="shared" si="3"/>
        <v>Good</v>
      </c>
      <c r="AK42" t="str">
        <f t="shared" si="4"/>
        <v>Very Satisfied</v>
      </c>
      <c r="AL42">
        <f t="shared" si="5"/>
        <v>23412</v>
      </c>
    </row>
    <row r="43" spans="1:38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26-35</v>
      </c>
      <c r="AH43" t="str">
        <f t="shared" si="1"/>
        <v>Low (0-3K)</v>
      </c>
      <c r="AI43" t="str">
        <f t="shared" si="2"/>
        <v>0-2 yrs</v>
      </c>
      <c r="AJ43" t="str">
        <f t="shared" si="3"/>
        <v>Good</v>
      </c>
      <c r="AK43" t="str">
        <f t="shared" si="4"/>
        <v>Very Dissatisfied</v>
      </c>
      <c r="AL43">
        <f t="shared" si="5"/>
        <v>28092</v>
      </c>
    </row>
    <row r="44" spans="1:38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26-35</v>
      </c>
      <c r="AH44" t="str">
        <f t="shared" si="1"/>
        <v>Low (0-3K)</v>
      </c>
      <c r="AI44" t="str">
        <f t="shared" si="2"/>
        <v>0-2 yrs</v>
      </c>
      <c r="AJ44" t="str">
        <f t="shared" si="3"/>
        <v>Good</v>
      </c>
      <c r="AK44" t="str">
        <f t="shared" si="4"/>
        <v>Satisfied</v>
      </c>
      <c r="AL44">
        <f t="shared" si="5"/>
        <v>27516</v>
      </c>
    </row>
    <row r="45" spans="1:38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26-35</v>
      </c>
      <c r="AH45" t="str">
        <f t="shared" si="1"/>
        <v>High (6-10K)</v>
      </c>
      <c r="AI45" t="str">
        <f t="shared" si="2"/>
        <v>6-10 yrs</v>
      </c>
      <c r="AJ45" t="str">
        <f t="shared" si="3"/>
        <v>Good</v>
      </c>
      <c r="AK45" t="str">
        <f t="shared" si="4"/>
        <v>Satisfied</v>
      </c>
      <c r="AL45">
        <f t="shared" si="5"/>
        <v>104712</v>
      </c>
    </row>
    <row r="46" spans="1:38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26-35</v>
      </c>
      <c r="AH46" t="str">
        <f t="shared" si="1"/>
        <v>Mid (3-6K)</v>
      </c>
      <c r="AI46" t="str">
        <f t="shared" si="2"/>
        <v>10+ yrs</v>
      </c>
      <c r="AJ46" t="str">
        <f t="shared" si="3"/>
        <v>Excellent</v>
      </c>
      <c r="AK46" t="str">
        <f t="shared" si="4"/>
        <v>Very Satisfied</v>
      </c>
      <c r="AL46">
        <f t="shared" si="5"/>
        <v>48132</v>
      </c>
    </row>
    <row r="47" spans="1:38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36-45</v>
      </c>
      <c r="AH47" t="str">
        <f t="shared" si="1"/>
        <v>Very High (10K+)</v>
      </c>
      <c r="AI47" t="str">
        <f t="shared" si="2"/>
        <v>10+ yrs</v>
      </c>
      <c r="AJ47" t="str">
        <f t="shared" si="3"/>
        <v>Good</v>
      </c>
      <c r="AK47" t="str">
        <f t="shared" si="4"/>
        <v>Satisfied</v>
      </c>
      <c r="AL47">
        <f t="shared" si="5"/>
        <v>234540</v>
      </c>
    </row>
    <row r="48" spans="1:38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26-35</v>
      </c>
      <c r="AH48" t="str">
        <f t="shared" si="1"/>
        <v>Mid (3-6K)</v>
      </c>
      <c r="AI48" t="str">
        <f t="shared" si="2"/>
        <v>6-10 yrs</v>
      </c>
      <c r="AJ48" t="str">
        <f t="shared" si="3"/>
        <v>Excellent</v>
      </c>
      <c r="AK48" t="str">
        <f t="shared" si="4"/>
        <v>Satisfied</v>
      </c>
      <c r="AL48">
        <f t="shared" si="5"/>
        <v>54816</v>
      </c>
    </row>
    <row r="49" spans="1:38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36-45</v>
      </c>
      <c r="AH49" t="str">
        <f t="shared" si="1"/>
        <v>Mid (3-6K)</v>
      </c>
      <c r="AI49" t="str">
        <f t="shared" si="2"/>
        <v>0-2 yrs</v>
      </c>
      <c r="AJ49" t="str">
        <f t="shared" si="3"/>
        <v>Excellent</v>
      </c>
      <c r="AK49" t="str">
        <f t="shared" si="4"/>
        <v>Dissatisfied</v>
      </c>
      <c r="AL49">
        <f t="shared" si="5"/>
        <v>36264</v>
      </c>
    </row>
    <row r="50" spans="1:38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46+</v>
      </c>
      <c r="AH50" t="str">
        <f t="shared" si="1"/>
        <v>Mid (3-6K)</v>
      </c>
      <c r="AI50" t="str">
        <f t="shared" si="2"/>
        <v>6-10 yrs</v>
      </c>
      <c r="AJ50" t="str">
        <f t="shared" si="3"/>
        <v>Excellent</v>
      </c>
      <c r="AK50" t="str">
        <f t="shared" si="4"/>
        <v>Very Satisfied</v>
      </c>
      <c r="AL50">
        <f t="shared" si="5"/>
        <v>69264</v>
      </c>
    </row>
    <row r="51" spans="1:38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26-35</v>
      </c>
      <c r="AH51" t="str">
        <f t="shared" si="1"/>
        <v>Low (0-3K)</v>
      </c>
      <c r="AI51" t="str">
        <f t="shared" si="2"/>
        <v>0-2 yrs</v>
      </c>
      <c r="AJ51" t="str">
        <f t="shared" si="3"/>
        <v>Good</v>
      </c>
      <c r="AK51" t="str">
        <f t="shared" si="4"/>
        <v>Very Satisfied</v>
      </c>
      <c r="AL51">
        <f t="shared" si="5"/>
        <v>27228</v>
      </c>
    </row>
    <row r="52" spans="1:38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46+</v>
      </c>
      <c r="AH52" t="str">
        <f t="shared" si="1"/>
        <v>Mid (3-6K)</v>
      </c>
      <c r="AI52" t="str">
        <f t="shared" si="2"/>
        <v>0-2 yrs</v>
      </c>
      <c r="AJ52" t="str">
        <f t="shared" si="3"/>
        <v>Good</v>
      </c>
      <c r="AK52" t="str">
        <f t="shared" si="4"/>
        <v>Satisfied</v>
      </c>
      <c r="AL52">
        <f t="shared" si="5"/>
        <v>64572</v>
      </c>
    </row>
    <row r="53" spans="1:38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26-35</v>
      </c>
      <c r="AH53" t="str">
        <f t="shared" si="1"/>
        <v>Mid (3-6K)</v>
      </c>
      <c r="AI53" t="str">
        <f t="shared" si="2"/>
        <v>0-2 yrs</v>
      </c>
      <c r="AJ53" t="str">
        <f t="shared" si="3"/>
        <v>Good</v>
      </c>
      <c r="AK53" t="str">
        <f t="shared" si="4"/>
        <v>Satisfied</v>
      </c>
      <c r="AL53">
        <f t="shared" si="5"/>
        <v>41292</v>
      </c>
    </row>
    <row r="54" spans="1:38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36-45</v>
      </c>
      <c r="AH54" t="str">
        <f t="shared" si="1"/>
        <v>Mid (3-6K)</v>
      </c>
      <c r="AI54" t="str">
        <f t="shared" si="2"/>
        <v>3-5 yrs</v>
      </c>
      <c r="AJ54" t="str">
        <f t="shared" si="3"/>
        <v>Excellent</v>
      </c>
      <c r="AK54" t="str">
        <f t="shared" si="4"/>
        <v>Very Dissatisfied</v>
      </c>
      <c r="AL54">
        <f t="shared" si="5"/>
        <v>65448</v>
      </c>
    </row>
    <row r="55" spans="1:38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26-35</v>
      </c>
      <c r="AH55" t="str">
        <f t="shared" si="1"/>
        <v>High (6-10K)</v>
      </c>
      <c r="AI55" t="str">
        <f t="shared" si="2"/>
        <v>3-5 yrs</v>
      </c>
      <c r="AJ55" t="str">
        <f t="shared" si="3"/>
        <v>Good</v>
      </c>
      <c r="AK55" t="str">
        <f t="shared" si="4"/>
        <v>Very Dissatisfied</v>
      </c>
      <c r="AL55">
        <f t="shared" si="5"/>
        <v>118608</v>
      </c>
    </row>
    <row r="56" spans="1:38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26-35</v>
      </c>
      <c r="AH56" t="str">
        <f t="shared" si="1"/>
        <v>Mid (3-6K)</v>
      </c>
      <c r="AI56" t="str">
        <f t="shared" si="2"/>
        <v>0-2 yrs</v>
      </c>
      <c r="AJ56" t="str">
        <f t="shared" si="3"/>
        <v>Good</v>
      </c>
      <c r="AK56" t="str">
        <f t="shared" si="4"/>
        <v>Very Satisfied</v>
      </c>
      <c r="AL56">
        <f t="shared" si="5"/>
        <v>49884</v>
      </c>
    </row>
    <row r="57" spans="1:38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26-35</v>
      </c>
      <c r="AH57" t="str">
        <f t="shared" si="1"/>
        <v>Very High (10K+)</v>
      </c>
      <c r="AI57" t="str">
        <f t="shared" si="2"/>
        <v>10+ yrs</v>
      </c>
      <c r="AJ57" t="str">
        <f t="shared" si="3"/>
        <v>Good</v>
      </c>
      <c r="AK57" t="str">
        <f t="shared" si="4"/>
        <v>Very Satisfied</v>
      </c>
      <c r="AL57">
        <f t="shared" si="5"/>
        <v>161496</v>
      </c>
    </row>
    <row r="58" spans="1:38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26-35</v>
      </c>
      <c r="AH58" t="str">
        <f t="shared" si="1"/>
        <v>High (6-10K)</v>
      </c>
      <c r="AI58" t="str">
        <f t="shared" si="2"/>
        <v>6-10 yrs</v>
      </c>
      <c r="AJ58" t="str">
        <f t="shared" si="3"/>
        <v>Excellent</v>
      </c>
      <c r="AK58" t="str">
        <f t="shared" si="4"/>
        <v>Very Dissatisfied</v>
      </c>
      <c r="AL58">
        <f t="shared" si="5"/>
        <v>108828</v>
      </c>
    </row>
    <row r="59" spans="1:38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26-35</v>
      </c>
      <c r="AH59" t="str">
        <f t="shared" si="1"/>
        <v>Mid (3-6K)</v>
      </c>
      <c r="AI59" t="str">
        <f t="shared" si="2"/>
        <v>0-2 yrs</v>
      </c>
      <c r="AJ59" t="str">
        <f t="shared" si="3"/>
        <v>Good</v>
      </c>
      <c r="AK59" t="str">
        <f t="shared" si="4"/>
        <v>Very Dissatisfied</v>
      </c>
      <c r="AL59">
        <f t="shared" si="5"/>
        <v>48168</v>
      </c>
    </row>
    <row r="60" spans="1:38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26-35</v>
      </c>
      <c r="AH60" t="str">
        <f t="shared" si="1"/>
        <v>Mid (3-6K)</v>
      </c>
      <c r="AI60" t="str">
        <f t="shared" si="2"/>
        <v>6-10 yrs</v>
      </c>
      <c r="AJ60" t="str">
        <f t="shared" si="3"/>
        <v>Excellent</v>
      </c>
      <c r="AK60" t="str">
        <f t="shared" si="4"/>
        <v>Very Satisfied</v>
      </c>
      <c r="AL60">
        <f t="shared" si="5"/>
        <v>70980</v>
      </c>
    </row>
    <row r="61" spans="1:38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36-45</v>
      </c>
      <c r="AH61" t="str">
        <f t="shared" si="1"/>
        <v>Mid (3-6K)</v>
      </c>
      <c r="AI61" t="str">
        <f t="shared" si="2"/>
        <v>6-10 yrs</v>
      </c>
      <c r="AJ61" t="str">
        <f t="shared" si="3"/>
        <v>Good</v>
      </c>
      <c r="AK61" t="str">
        <f t="shared" si="4"/>
        <v>Satisfied</v>
      </c>
      <c r="AL61">
        <f t="shared" si="5"/>
        <v>71916</v>
      </c>
    </row>
    <row r="62" spans="1:38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26-35</v>
      </c>
      <c r="AH62" t="str">
        <f t="shared" si="1"/>
        <v>High (6-10K)</v>
      </c>
      <c r="AI62" t="str">
        <f t="shared" si="2"/>
        <v>6-10 yrs</v>
      </c>
      <c r="AJ62" t="str">
        <f t="shared" si="3"/>
        <v>Excellent</v>
      </c>
      <c r="AK62" t="str">
        <f t="shared" si="4"/>
        <v>Very Satisfied</v>
      </c>
      <c r="AL62">
        <f t="shared" si="5"/>
        <v>73944</v>
      </c>
    </row>
    <row r="63" spans="1:38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36-45</v>
      </c>
      <c r="AH63" t="str">
        <f t="shared" si="1"/>
        <v>Low (0-3K)</v>
      </c>
      <c r="AI63" t="str">
        <f t="shared" si="2"/>
        <v>6-10 yrs</v>
      </c>
      <c r="AJ63" t="str">
        <f t="shared" si="3"/>
        <v>Good</v>
      </c>
      <c r="AK63" t="str">
        <f t="shared" si="4"/>
        <v>Very Satisfied</v>
      </c>
      <c r="AL63">
        <f t="shared" si="5"/>
        <v>28872</v>
      </c>
    </row>
    <row r="64" spans="1:38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46+</v>
      </c>
      <c r="AH64" t="str">
        <f t="shared" si="1"/>
        <v>Very High (10K+)</v>
      </c>
      <c r="AI64" t="str">
        <f t="shared" si="2"/>
        <v>10+ yrs</v>
      </c>
      <c r="AJ64" t="str">
        <f t="shared" si="3"/>
        <v>Good</v>
      </c>
      <c r="AK64" t="str">
        <f t="shared" si="4"/>
        <v>Satisfied</v>
      </c>
      <c r="AL64">
        <f t="shared" si="5"/>
        <v>224880</v>
      </c>
    </row>
    <row r="65" spans="1:38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46+</v>
      </c>
      <c r="AH65" t="str">
        <f t="shared" si="1"/>
        <v>High (6-10K)</v>
      </c>
      <c r="AI65" t="str">
        <f t="shared" si="2"/>
        <v>10+ yrs</v>
      </c>
      <c r="AJ65" t="str">
        <f t="shared" si="3"/>
        <v>Good</v>
      </c>
      <c r="AK65" t="str">
        <f t="shared" si="4"/>
        <v>Very Dissatisfied</v>
      </c>
      <c r="AL65">
        <f t="shared" si="5"/>
        <v>91644</v>
      </c>
    </row>
    <row r="66" spans="1:38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si="0"/>
        <v>36-45</v>
      </c>
      <c r="AH66" t="str">
        <f t="shared" si="1"/>
        <v>Very High (10K+)</v>
      </c>
      <c r="AI66" t="str">
        <f t="shared" si="2"/>
        <v>10+ yrs</v>
      </c>
      <c r="AJ66" t="str">
        <f t="shared" si="3"/>
        <v>Good</v>
      </c>
      <c r="AK66" t="str">
        <f t="shared" si="4"/>
        <v>Satisfied</v>
      </c>
      <c r="AL66">
        <f t="shared" si="5"/>
        <v>121152</v>
      </c>
    </row>
    <row r="67" spans="1:38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ref="AG67:AG130" si="6">IF(A67&lt;=25,"20-25",IF(A67&lt;=35,"26-35",IF(A67&lt;=45,"36-45","46+")))</f>
        <v>46+</v>
      </c>
      <c r="AH67" t="str">
        <f t="shared" ref="AH67:AH130" si="7">IF(R67&lt;=3000,"Low (0-3K)",IF(R67&lt;=6000,"Mid (3-6K)",IF(R67&lt;=10000,"High (6-10K)","Very High (10K+)")))</f>
        <v>Very High (10K+)</v>
      </c>
      <c r="AI67" t="str">
        <f t="shared" ref="AI67:AI130" si="8">IF(AC67&lt;=2,"0-2 yrs",IF(AC67&lt;=5,"3-5 yrs",IF(AC67&lt;=10,"6-10 yrs","10+ yrs")))</f>
        <v>3-5 yrs</v>
      </c>
      <c r="AJ67" t="str">
        <f t="shared" ref="AJ67:AJ130" si="9">IF(W67=4,"Excellent",IF(W67=3,"Good",IF(W67=2,"Needs Improvement","Poor")))</f>
        <v>Good</v>
      </c>
      <c r="AK67" t="str">
        <f t="shared" ref="AK67:AK130" si="10">IF(P67=4,"Very Satisfied",IF(P67=3,"Satisfied",IF(P67=2,"Dissatisfied","Very Dissatisfied")))</f>
        <v>Satisfied</v>
      </c>
      <c r="AL67">
        <f t="shared" ref="AL67:AL130" si="11">R67*12</f>
        <v>177072</v>
      </c>
    </row>
    <row r="68" spans="1:38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6"/>
        <v>36-45</v>
      </c>
      <c r="AH68" t="str">
        <f t="shared" si="7"/>
        <v>High (6-10K)</v>
      </c>
      <c r="AI68" t="str">
        <f t="shared" si="8"/>
        <v>6-10 yrs</v>
      </c>
      <c r="AJ68" t="str">
        <f t="shared" si="9"/>
        <v>Good</v>
      </c>
      <c r="AK68" t="str">
        <f t="shared" si="10"/>
        <v>Dissatisfied</v>
      </c>
      <c r="AL68">
        <f t="shared" si="11"/>
        <v>77988</v>
      </c>
    </row>
    <row r="69" spans="1:38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6"/>
        <v>36-45</v>
      </c>
      <c r="AH69" t="str">
        <f t="shared" si="7"/>
        <v>High (6-10K)</v>
      </c>
      <c r="AI69" t="str">
        <f t="shared" si="8"/>
        <v>0-2 yrs</v>
      </c>
      <c r="AJ69" t="str">
        <f t="shared" si="9"/>
        <v>Good</v>
      </c>
      <c r="AK69" t="str">
        <f t="shared" si="10"/>
        <v>Very Dissatisfied</v>
      </c>
      <c r="AL69">
        <f t="shared" si="11"/>
        <v>116688</v>
      </c>
    </row>
    <row r="70" spans="1:38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6"/>
        <v>26-35</v>
      </c>
      <c r="AH70" t="str">
        <f t="shared" si="7"/>
        <v>Low (0-3K)</v>
      </c>
      <c r="AI70" t="str">
        <f t="shared" si="8"/>
        <v>3-5 yrs</v>
      </c>
      <c r="AJ70" t="str">
        <f t="shared" si="9"/>
        <v>Good</v>
      </c>
      <c r="AK70" t="str">
        <f t="shared" si="10"/>
        <v>Very Dissatisfied</v>
      </c>
      <c r="AL70">
        <f t="shared" si="11"/>
        <v>26328</v>
      </c>
    </row>
    <row r="71" spans="1:38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6"/>
        <v>36-45</v>
      </c>
      <c r="AH71" t="str">
        <f t="shared" si="7"/>
        <v>Mid (3-6K)</v>
      </c>
      <c r="AI71" t="str">
        <f t="shared" si="8"/>
        <v>0-2 yrs</v>
      </c>
      <c r="AJ71" t="str">
        <f t="shared" si="9"/>
        <v>Good</v>
      </c>
      <c r="AK71" t="str">
        <f t="shared" si="10"/>
        <v>Satisfied</v>
      </c>
      <c r="AL71">
        <f t="shared" si="11"/>
        <v>40656</v>
      </c>
    </row>
    <row r="72" spans="1:38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6"/>
        <v>46+</v>
      </c>
      <c r="AH72" t="str">
        <f t="shared" si="7"/>
        <v>Mid (3-6K)</v>
      </c>
      <c r="AI72" t="str">
        <f t="shared" si="8"/>
        <v>3-5 yrs</v>
      </c>
      <c r="AJ72" t="str">
        <f t="shared" si="9"/>
        <v>Good</v>
      </c>
      <c r="AK72" t="str">
        <f t="shared" si="10"/>
        <v>Satisfied</v>
      </c>
      <c r="AL72">
        <f t="shared" si="11"/>
        <v>65676</v>
      </c>
    </row>
    <row r="73" spans="1:38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6"/>
        <v>26-35</v>
      </c>
      <c r="AH73" t="str">
        <f t="shared" si="7"/>
        <v>Low (0-3K)</v>
      </c>
      <c r="AI73" t="str">
        <f t="shared" si="8"/>
        <v>3-5 yrs</v>
      </c>
      <c r="AJ73" t="str">
        <f t="shared" si="9"/>
        <v>Excellent</v>
      </c>
      <c r="AK73" t="str">
        <f t="shared" si="10"/>
        <v>Dissatisfied</v>
      </c>
      <c r="AL73">
        <f t="shared" si="11"/>
        <v>32436</v>
      </c>
    </row>
    <row r="74" spans="1:38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6"/>
        <v>26-35</v>
      </c>
      <c r="AH74" t="str">
        <f t="shared" si="7"/>
        <v>Low (0-3K)</v>
      </c>
      <c r="AI74" t="str">
        <f t="shared" si="8"/>
        <v>0-2 yrs</v>
      </c>
      <c r="AJ74" t="str">
        <f t="shared" si="9"/>
        <v>Good</v>
      </c>
      <c r="AK74" t="str">
        <f t="shared" si="10"/>
        <v>Dissatisfied</v>
      </c>
      <c r="AL74">
        <f t="shared" si="11"/>
        <v>30012</v>
      </c>
    </row>
    <row r="75" spans="1:38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6"/>
        <v>26-35</v>
      </c>
      <c r="AH75" t="str">
        <f t="shared" si="7"/>
        <v>High (6-10K)</v>
      </c>
      <c r="AI75" t="str">
        <f t="shared" si="8"/>
        <v>6-10 yrs</v>
      </c>
      <c r="AJ75" t="str">
        <f t="shared" si="9"/>
        <v>Good</v>
      </c>
      <c r="AK75" t="str">
        <f t="shared" si="10"/>
        <v>Dissatisfied</v>
      </c>
      <c r="AL75">
        <f t="shared" si="11"/>
        <v>74640</v>
      </c>
    </row>
    <row r="76" spans="1:38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6"/>
        <v>36-45</v>
      </c>
      <c r="AH76" t="str">
        <f t="shared" si="7"/>
        <v>Mid (3-6K)</v>
      </c>
      <c r="AI76" t="str">
        <f t="shared" si="8"/>
        <v>0-2 yrs</v>
      </c>
      <c r="AJ76" t="str">
        <f t="shared" si="9"/>
        <v>Good</v>
      </c>
      <c r="AK76" t="str">
        <f t="shared" si="10"/>
        <v>Very Satisfied</v>
      </c>
      <c r="AL76">
        <f t="shared" si="11"/>
        <v>36456</v>
      </c>
    </row>
    <row r="77" spans="1:38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6"/>
        <v>26-35</v>
      </c>
      <c r="AH77" t="str">
        <f t="shared" si="7"/>
        <v>Mid (3-6K)</v>
      </c>
      <c r="AI77" t="str">
        <f t="shared" si="8"/>
        <v>10+ yrs</v>
      </c>
      <c r="AJ77" t="str">
        <f t="shared" si="9"/>
        <v>Excellent</v>
      </c>
      <c r="AK77" t="str">
        <f t="shared" si="10"/>
        <v>Very Satisfied</v>
      </c>
      <c r="AL77">
        <f t="shared" si="11"/>
        <v>53088</v>
      </c>
    </row>
    <row r="78" spans="1:38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6"/>
        <v>26-35</v>
      </c>
      <c r="AH78" t="str">
        <f t="shared" si="7"/>
        <v>Mid (3-6K)</v>
      </c>
      <c r="AI78" t="str">
        <f t="shared" si="8"/>
        <v>10+ yrs</v>
      </c>
      <c r="AJ78" t="str">
        <f t="shared" si="9"/>
        <v>Good</v>
      </c>
      <c r="AK78" t="str">
        <f t="shared" si="10"/>
        <v>Very Dissatisfied</v>
      </c>
      <c r="AL78">
        <f t="shared" si="11"/>
        <v>51744</v>
      </c>
    </row>
    <row r="79" spans="1:38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6"/>
        <v>36-45</v>
      </c>
      <c r="AH79" t="str">
        <f t="shared" si="7"/>
        <v>Very High (10K+)</v>
      </c>
      <c r="AI79" t="str">
        <f t="shared" si="8"/>
        <v>0-2 yrs</v>
      </c>
      <c r="AJ79" t="str">
        <f t="shared" si="9"/>
        <v>Good</v>
      </c>
      <c r="AK79" t="str">
        <f t="shared" si="10"/>
        <v>Very Dissatisfied</v>
      </c>
      <c r="AL79">
        <f t="shared" si="11"/>
        <v>158940</v>
      </c>
    </row>
    <row r="80" spans="1:38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6"/>
        <v>36-45</v>
      </c>
      <c r="AH80" t="str">
        <f t="shared" si="7"/>
        <v>Very High (10K+)</v>
      </c>
      <c r="AI80" t="str">
        <f t="shared" si="8"/>
        <v>3-5 yrs</v>
      </c>
      <c r="AJ80" t="str">
        <f t="shared" si="9"/>
        <v>Good</v>
      </c>
      <c r="AK80" t="str">
        <f t="shared" si="10"/>
        <v>Satisfied</v>
      </c>
      <c r="AL80">
        <f t="shared" si="11"/>
        <v>163968</v>
      </c>
    </row>
    <row r="81" spans="1:38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6"/>
        <v>46+</v>
      </c>
      <c r="AH81" t="str">
        <f t="shared" si="7"/>
        <v>Mid (3-6K)</v>
      </c>
      <c r="AI81" t="str">
        <f t="shared" si="8"/>
        <v>3-5 yrs</v>
      </c>
      <c r="AJ81" t="str">
        <f t="shared" si="9"/>
        <v>Excellent</v>
      </c>
      <c r="AK81" t="str">
        <f t="shared" si="10"/>
        <v>Dissatisfied</v>
      </c>
      <c r="AL81">
        <f t="shared" si="11"/>
        <v>60252</v>
      </c>
    </row>
    <row r="82" spans="1:38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6"/>
        <v>26-35</v>
      </c>
      <c r="AH82" t="str">
        <f t="shared" si="7"/>
        <v>Mid (3-6K)</v>
      </c>
      <c r="AI82" t="str">
        <f t="shared" si="8"/>
        <v>6-10 yrs</v>
      </c>
      <c r="AJ82" t="str">
        <f t="shared" si="9"/>
        <v>Good</v>
      </c>
      <c r="AK82" t="str">
        <f t="shared" si="10"/>
        <v>Very Satisfied</v>
      </c>
      <c r="AL82">
        <f t="shared" si="11"/>
        <v>61512</v>
      </c>
    </row>
    <row r="83" spans="1:38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6"/>
        <v>26-35</v>
      </c>
      <c r="AH83" t="str">
        <f t="shared" si="7"/>
        <v>Low (0-3K)</v>
      </c>
      <c r="AI83" t="str">
        <f t="shared" si="8"/>
        <v>6-10 yrs</v>
      </c>
      <c r="AJ83" t="str">
        <f t="shared" si="9"/>
        <v>Good</v>
      </c>
      <c r="AK83" t="str">
        <f t="shared" si="10"/>
        <v>Satisfied</v>
      </c>
      <c r="AL83">
        <f t="shared" si="11"/>
        <v>34308</v>
      </c>
    </row>
    <row r="84" spans="1:38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6"/>
        <v>46+</v>
      </c>
      <c r="AH84" t="str">
        <f t="shared" si="7"/>
        <v>Very High (10K+)</v>
      </c>
      <c r="AI84" t="str">
        <f t="shared" si="8"/>
        <v>0-2 yrs</v>
      </c>
      <c r="AJ84" t="str">
        <f t="shared" si="9"/>
        <v>Good</v>
      </c>
      <c r="AK84" t="str">
        <f t="shared" si="10"/>
        <v>Very Satisfied</v>
      </c>
      <c r="AL84">
        <f t="shared" si="11"/>
        <v>122868</v>
      </c>
    </row>
    <row r="85" spans="1:38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6"/>
        <v>36-45</v>
      </c>
      <c r="AH85" t="str">
        <f t="shared" si="7"/>
        <v>Mid (3-6K)</v>
      </c>
      <c r="AI85" t="str">
        <f t="shared" si="8"/>
        <v>10+ yrs</v>
      </c>
      <c r="AJ85" t="str">
        <f t="shared" si="9"/>
        <v>Good</v>
      </c>
      <c r="AK85" t="str">
        <f t="shared" si="10"/>
        <v>Very Satisfied</v>
      </c>
      <c r="AL85">
        <f t="shared" si="11"/>
        <v>63948</v>
      </c>
    </row>
    <row r="86" spans="1:38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6"/>
        <v>26-35</v>
      </c>
      <c r="AH86" t="str">
        <f t="shared" si="7"/>
        <v>Mid (3-6K)</v>
      </c>
      <c r="AI86" t="str">
        <f t="shared" si="8"/>
        <v>3-5 yrs</v>
      </c>
      <c r="AJ86" t="str">
        <f t="shared" si="9"/>
        <v>Good</v>
      </c>
      <c r="AK86" t="str">
        <f t="shared" si="10"/>
        <v>Dissatisfied</v>
      </c>
      <c r="AL86">
        <f t="shared" si="11"/>
        <v>51900</v>
      </c>
    </row>
    <row r="87" spans="1:38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6"/>
        <v>46+</v>
      </c>
      <c r="AH87" t="str">
        <f t="shared" si="7"/>
        <v>High (6-10K)</v>
      </c>
      <c r="AI87" t="str">
        <f t="shared" si="8"/>
        <v>6-10 yrs</v>
      </c>
      <c r="AJ87" t="str">
        <f t="shared" si="9"/>
        <v>Good</v>
      </c>
      <c r="AK87" t="str">
        <f t="shared" si="10"/>
        <v>Very Satisfied</v>
      </c>
      <c r="AL87">
        <f t="shared" si="11"/>
        <v>87120</v>
      </c>
    </row>
    <row r="88" spans="1:38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6"/>
        <v>20-25</v>
      </c>
      <c r="AH88" t="str">
        <f t="shared" si="7"/>
        <v>Low (0-3K)</v>
      </c>
      <c r="AI88" t="str">
        <f t="shared" si="8"/>
        <v>0-2 yrs</v>
      </c>
      <c r="AJ88" t="str">
        <f t="shared" si="9"/>
        <v>Good</v>
      </c>
      <c r="AK88" t="str">
        <f t="shared" si="10"/>
        <v>Very Dissatisfied</v>
      </c>
      <c r="AL88">
        <f t="shared" si="11"/>
        <v>27864</v>
      </c>
    </row>
    <row r="89" spans="1:38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6"/>
        <v>46+</v>
      </c>
      <c r="AH89" t="str">
        <f t="shared" si="7"/>
        <v>Low (0-3K)</v>
      </c>
      <c r="AI89" t="str">
        <f t="shared" si="8"/>
        <v>3-5 yrs</v>
      </c>
      <c r="AJ89" t="str">
        <f t="shared" si="9"/>
        <v>Excellent</v>
      </c>
      <c r="AK89" t="str">
        <f t="shared" si="10"/>
        <v>Very Satisfied</v>
      </c>
      <c r="AL89">
        <f t="shared" si="11"/>
        <v>24900</v>
      </c>
    </row>
    <row r="90" spans="1:38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6"/>
        <v>26-35</v>
      </c>
      <c r="AH90" t="str">
        <f t="shared" si="7"/>
        <v>Mid (3-6K)</v>
      </c>
      <c r="AI90" t="str">
        <f t="shared" si="8"/>
        <v>10+ yrs</v>
      </c>
      <c r="AJ90" t="str">
        <f t="shared" si="9"/>
        <v>Good</v>
      </c>
      <c r="AK90" t="str">
        <f t="shared" si="10"/>
        <v>Very Satisfied</v>
      </c>
      <c r="AL90">
        <f t="shared" si="11"/>
        <v>49824</v>
      </c>
    </row>
    <row r="91" spans="1:38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6"/>
        <v>46+</v>
      </c>
      <c r="AH91" t="str">
        <f t="shared" si="7"/>
        <v>High (6-10K)</v>
      </c>
      <c r="AI91" t="str">
        <f t="shared" si="8"/>
        <v>6-10 yrs</v>
      </c>
      <c r="AJ91" t="str">
        <f t="shared" si="9"/>
        <v>Good</v>
      </c>
      <c r="AK91" t="str">
        <f t="shared" si="10"/>
        <v>Very Satisfied</v>
      </c>
      <c r="AL91">
        <f t="shared" si="11"/>
        <v>115428</v>
      </c>
    </row>
    <row r="92" spans="1:38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6"/>
        <v>36-45</v>
      </c>
      <c r="AH92" t="str">
        <f t="shared" si="7"/>
        <v>Very High (10K+)</v>
      </c>
      <c r="AI92" t="str">
        <f t="shared" si="8"/>
        <v>10+ yrs</v>
      </c>
      <c r="AJ92" t="str">
        <f t="shared" si="9"/>
        <v>Excellent</v>
      </c>
      <c r="AK92" t="str">
        <f t="shared" si="10"/>
        <v>Dissatisfied</v>
      </c>
      <c r="AL92">
        <f t="shared" si="11"/>
        <v>162036</v>
      </c>
    </row>
    <row r="93" spans="1:38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6"/>
        <v>46+</v>
      </c>
      <c r="AH93" t="str">
        <f t="shared" si="7"/>
        <v>Mid (3-6K)</v>
      </c>
      <c r="AI93" t="str">
        <f t="shared" si="8"/>
        <v>6-10 yrs</v>
      </c>
      <c r="AJ93" t="str">
        <f t="shared" si="9"/>
        <v>Excellent</v>
      </c>
      <c r="AK93" t="str">
        <f t="shared" si="10"/>
        <v>Very Satisfied</v>
      </c>
      <c r="AL93">
        <f t="shared" si="11"/>
        <v>65292</v>
      </c>
    </row>
    <row r="94" spans="1:38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6"/>
        <v>26-35</v>
      </c>
      <c r="AH94" t="str">
        <f t="shared" si="7"/>
        <v>Mid (3-6K)</v>
      </c>
      <c r="AI94" t="str">
        <f t="shared" si="8"/>
        <v>10+ yrs</v>
      </c>
      <c r="AJ94" t="str">
        <f t="shared" si="9"/>
        <v>Good</v>
      </c>
      <c r="AK94" t="str">
        <f t="shared" si="10"/>
        <v>Dissatisfied</v>
      </c>
      <c r="AL94">
        <f t="shared" si="11"/>
        <v>62508</v>
      </c>
    </row>
    <row r="95" spans="1:38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6"/>
        <v>46+</v>
      </c>
      <c r="AH95" t="str">
        <f t="shared" si="7"/>
        <v>Very High (10K+)</v>
      </c>
      <c r="AI95" t="str">
        <f t="shared" si="8"/>
        <v>6-10 yrs</v>
      </c>
      <c r="AJ95" t="str">
        <f t="shared" si="9"/>
        <v>Good</v>
      </c>
      <c r="AK95" t="str">
        <f t="shared" si="10"/>
        <v>Very Dissatisfied</v>
      </c>
      <c r="AL95">
        <f t="shared" si="11"/>
        <v>128076</v>
      </c>
    </row>
    <row r="96" spans="1:38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6"/>
        <v>26-35</v>
      </c>
      <c r="AH96" t="str">
        <f t="shared" si="7"/>
        <v>Mid (3-6K)</v>
      </c>
      <c r="AI96" t="str">
        <f t="shared" si="8"/>
        <v>10+ yrs</v>
      </c>
      <c r="AJ96" t="str">
        <f t="shared" si="9"/>
        <v>Good</v>
      </c>
      <c r="AK96" t="str">
        <f t="shared" si="10"/>
        <v>Satisfied</v>
      </c>
      <c r="AL96">
        <f t="shared" si="11"/>
        <v>60120</v>
      </c>
    </row>
    <row r="97" spans="1:38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6"/>
        <v>46+</v>
      </c>
      <c r="AH97" t="str">
        <f t="shared" si="7"/>
        <v>Very High (10K+)</v>
      </c>
      <c r="AI97" t="str">
        <f t="shared" si="8"/>
        <v>3-5 yrs</v>
      </c>
      <c r="AJ97" t="str">
        <f t="shared" si="9"/>
        <v>Good</v>
      </c>
      <c r="AK97" t="str">
        <f t="shared" si="10"/>
        <v>Satisfied</v>
      </c>
      <c r="AL97">
        <f t="shared" si="11"/>
        <v>162588</v>
      </c>
    </row>
    <row r="98" spans="1:38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6"/>
        <v>20-25</v>
      </c>
      <c r="AH98" t="str">
        <f t="shared" si="7"/>
        <v>Mid (3-6K)</v>
      </c>
      <c r="AI98" t="str">
        <f t="shared" si="8"/>
        <v>3-5 yrs</v>
      </c>
      <c r="AJ98" t="str">
        <f t="shared" si="9"/>
        <v>Excellent</v>
      </c>
      <c r="AK98" t="str">
        <f t="shared" si="10"/>
        <v>Satisfied</v>
      </c>
      <c r="AL98">
        <f t="shared" si="11"/>
        <v>59988</v>
      </c>
    </row>
    <row r="99" spans="1:38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6"/>
        <v>26-35</v>
      </c>
      <c r="AH99" t="str">
        <f t="shared" si="7"/>
        <v>Mid (3-6K)</v>
      </c>
      <c r="AI99" t="str">
        <f t="shared" si="8"/>
        <v>3-5 yrs</v>
      </c>
      <c r="AJ99" t="str">
        <f t="shared" si="9"/>
        <v>Good</v>
      </c>
      <c r="AK99" t="str">
        <f t="shared" si="10"/>
        <v>Satisfied</v>
      </c>
      <c r="AL99">
        <f t="shared" si="11"/>
        <v>50652</v>
      </c>
    </row>
    <row r="100" spans="1:38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6"/>
        <v>46+</v>
      </c>
      <c r="AH100" t="str">
        <f t="shared" si="7"/>
        <v>Very High (10K+)</v>
      </c>
      <c r="AI100" t="str">
        <f t="shared" si="8"/>
        <v>10+ yrs</v>
      </c>
      <c r="AJ100" t="str">
        <f t="shared" si="9"/>
        <v>Good</v>
      </c>
      <c r="AK100" t="str">
        <f t="shared" si="10"/>
        <v>Satisfied</v>
      </c>
      <c r="AL100">
        <f t="shared" si="11"/>
        <v>166464</v>
      </c>
    </row>
    <row r="101" spans="1:38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6"/>
        <v>36-45</v>
      </c>
      <c r="AH101" t="str">
        <f t="shared" si="7"/>
        <v>Low (0-3K)</v>
      </c>
      <c r="AI101" t="str">
        <f t="shared" si="8"/>
        <v>3-5 yrs</v>
      </c>
      <c r="AJ101" t="str">
        <f t="shared" si="9"/>
        <v>Good</v>
      </c>
      <c r="AK101" t="str">
        <f t="shared" si="10"/>
        <v>Dissatisfied</v>
      </c>
      <c r="AL101">
        <f t="shared" si="11"/>
        <v>24504</v>
      </c>
    </row>
    <row r="102" spans="1:38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6"/>
        <v>36-45</v>
      </c>
      <c r="AH102" t="str">
        <f t="shared" si="7"/>
        <v>Low (0-3K)</v>
      </c>
      <c r="AI102" t="str">
        <f t="shared" si="8"/>
        <v>3-5 yrs</v>
      </c>
      <c r="AJ102" t="str">
        <f t="shared" si="9"/>
        <v>Excellent</v>
      </c>
      <c r="AK102" t="str">
        <f t="shared" si="10"/>
        <v>Very Dissatisfied</v>
      </c>
      <c r="AL102">
        <f t="shared" si="11"/>
        <v>24876</v>
      </c>
    </row>
    <row r="103" spans="1:38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6"/>
        <v>26-35</v>
      </c>
      <c r="AH103" t="str">
        <f t="shared" si="7"/>
        <v>Low (0-3K)</v>
      </c>
      <c r="AI103" t="str">
        <f t="shared" si="8"/>
        <v>0-2 yrs</v>
      </c>
      <c r="AJ103" t="str">
        <f t="shared" si="9"/>
        <v>Good</v>
      </c>
      <c r="AK103" t="str">
        <f t="shared" si="10"/>
        <v>Very Dissatisfied</v>
      </c>
      <c r="AL103">
        <f t="shared" si="11"/>
        <v>35472</v>
      </c>
    </row>
    <row r="104" spans="1:38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6"/>
        <v>20-25</v>
      </c>
      <c r="AH104" t="str">
        <f t="shared" si="7"/>
        <v>Low (0-3K)</v>
      </c>
      <c r="AI104" t="str">
        <f t="shared" si="8"/>
        <v>0-2 yrs</v>
      </c>
      <c r="AJ104" t="str">
        <f t="shared" si="9"/>
        <v>Good</v>
      </c>
      <c r="AK104" t="str">
        <f t="shared" si="10"/>
        <v>Very Satisfied</v>
      </c>
      <c r="AL104">
        <f t="shared" si="11"/>
        <v>35112</v>
      </c>
    </row>
    <row r="105" spans="1:38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6"/>
        <v>26-35</v>
      </c>
      <c r="AH105" t="str">
        <f t="shared" si="7"/>
        <v>Mid (3-6K)</v>
      </c>
      <c r="AI105" t="str">
        <f t="shared" si="8"/>
        <v>10+ yrs</v>
      </c>
      <c r="AJ105" t="str">
        <f t="shared" si="9"/>
        <v>Good</v>
      </c>
      <c r="AK105" t="str">
        <f t="shared" si="10"/>
        <v>Satisfied</v>
      </c>
      <c r="AL105">
        <f t="shared" si="11"/>
        <v>57708</v>
      </c>
    </row>
    <row r="106" spans="1:38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6"/>
        <v>36-45</v>
      </c>
      <c r="AH106" t="str">
        <f t="shared" si="7"/>
        <v>Mid (3-6K)</v>
      </c>
      <c r="AI106" t="str">
        <f t="shared" si="8"/>
        <v>0-2 yrs</v>
      </c>
      <c r="AJ106" t="str">
        <f t="shared" si="9"/>
        <v>Good</v>
      </c>
      <c r="AK106" t="str">
        <f t="shared" si="10"/>
        <v>Very Satisfied</v>
      </c>
      <c r="AL106">
        <f t="shared" si="11"/>
        <v>61956</v>
      </c>
    </row>
    <row r="107" spans="1:38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6"/>
        <v>46+</v>
      </c>
      <c r="AH107" t="str">
        <f t="shared" si="7"/>
        <v>Very High (10K+)</v>
      </c>
      <c r="AI107" t="str">
        <f t="shared" si="8"/>
        <v>3-5 yrs</v>
      </c>
      <c r="AJ107" t="str">
        <f t="shared" si="9"/>
        <v>Excellent</v>
      </c>
      <c r="AK107" t="str">
        <f t="shared" si="10"/>
        <v>Very Satisfied</v>
      </c>
      <c r="AL107">
        <f t="shared" si="11"/>
        <v>226128</v>
      </c>
    </row>
    <row r="108" spans="1:38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6"/>
        <v>46+</v>
      </c>
      <c r="AH108" t="str">
        <f t="shared" si="7"/>
        <v>Very High (10K+)</v>
      </c>
      <c r="AI108" t="str">
        <f t="shared" si="8"/>
        <v>6-10 yrs</v>
      </c>
      <c r="AJ108" t="str">
        <f t="shared" si="9"/>
        <v>Good</v>
      </c>
      <c r="AK108" t="str">
        <f t="shared" si="10"/>
        <v>Dissatisfied</v>
      </c>
      <c r="AL108">
        <f t="shared" si="11"/>
        <v>218064</v>
      </c>
    </row>
    <row r="109" spans="1:38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6"/>
        <v>20-25</v>
      </c>
      <c r="AH109" t="str">
        <f t="shared" si="7"/>
        <v>Mid (3-6K)</v>
      </c>
      <c r="AI109" t="str">
        <f t="shared" si="8"/>
        <v>6-10 yrs</v>
      </c>
      <c r="AJ109" t="str">
        <f t="shared" si="9"/>
        <v>Good</v>
      </c>
      <c r="AK109" t="str">
        <f t="shared" si="10"/>
        <v>Satisfied</v>
      </c>
      <c r="AL109">
        <f t="shared" si="11"/>
        <v>68928</v>
      </c>
    </row>
    <row r="110" spans="1:38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6"/>
        <v>20-25</v>
      </c>
      <c r="AH110" t="str">
        <f t="shared" si="7"/>
        <v>Low (0-3K)</v>
      </c>
      <c r="AI110" t="str">
        <f t="shared" si="8"/>
        <v>0-2 yrs</v>
      </c>
      <c r="AJ110" t="str">
        <f t="shared" si="9"/>
        <v>Good</v>
      </c>
      <c r="AK110" t="str">
        <f t="shared" si="10"/>
        <v>Very Satisfied</v>
      </c>
      <c r="AL110">
        <f t="shared" si="11"/>
        <v>34668</v>
      </c>
    </row>
    <row r="111" spans="1:38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6"/>
        <v>20-25</v>
      </c>
      <c r="AH111" t="str">
        <f t="shared" si="7"/>
        <v>Low (0-3K)</v>
      </c>
      <c r="AI111" t="str">
        <f t="shared" si="8"/>
        <v>0-2 yrs</v>
      </c>
      <c r="AJ111" t="str">
        <f t="shared" si="9"/>
        <v>Good</v>
      </c>
      <c r="AK111" t="str">
        <f t="shared" si="10"/>
        <v>Very Satisfied</v>
      </c>
      <c r="AL111">
        <f t="shared" si="11"/>
        <v>34452</v>
      </c>
    </row>
    <row r="112" spans="1:38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6"/>
        <v>46+</v>
      </c>
      <c r="AH112" t="str">
        <f t="shared" si="7"/>
        <v>High (6-10K)</v>
      </c>
      <c r="AI112" t="str">
        <f t="shared" si="8"/>
        <v>10+ yrs</v>
      </c>
      <c r="AJ112" t="str">
        <f t="shared" si="9"/>
        <v>Excellent</v>
      </c>
      <c r="AK112" t="str">
        <f t="shared" si="10"/>
        <v>Very Dissatisfied</v>
      </c>
      <c r="AL112">
        <f t="shared" si="11"/>
        <v>89808</v>
      </c>
    </row>
    <row r="113" spans="1:38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6"/>
        <v>26-35</v>
      </c>
      <c r="AH113" t="str">
        <f t="shared" si="7"/>
        <v>High (6-10K)</v>
      </c>
      <c r="AI113" t="str">
        <f t="shared" si="8"/>
        <v>6-10 yrs</v>
      </c>
      <c r="AJ113" t="str">
        <f t="shared" si="9"/>
        <v>Excellent</v>
      </c>
      <c r="AK113" t="str">
        <f t="shared" si="10"/>
        <v>Satisfied</v>
      </c>
      <c r="AL113">
        <f t="shared" si="11"/>
        <v>72888</v>
      </c>
    </row>
    <row r="114" spans="1:38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6"/>
        <v>46+</v>
      </c>
      <c r="AH114" t="str">
        <f t="shared" si="7"/>
        <v>Very High (10K+)</v>
      </c>
      <c r="AI114" t="str">
        <f t="shared" si="8"/>
        <v>3-5 yrs</v>
      </c>
      <c r="AJ114" t="str">
        <f t="shared" si="9"/>
        <v>Good</v>
      </c>
      <c r="AK114" t="str">
        <f t="shared" si="10"/>
        <v>Very Satisfied</v>
      </c>
      <c r="AL114">
        <f t="shared" si="11"/>
        <v>207936</v>
      </c>
    </row>
    <row r="115" spans="1:38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6"/>
        <v>20-25</v>
      </c>
      <c r="AH115" t="str">
        <f t="shared" si="7"/>
        <v>Low (0-3K)</v>
      </c>
      <c r="AI115" t="str">
        <f t="shared" si="8"/>
        <v>3-5 yrs</v>
      </c>
      <c r="AJ115" t="str">
        <f t="shared" si="9"/>
        <v>Good</v>
      </c>
      <c r="AK115" t="str">
        <f t="shared" si="10"/>
        <v>Satisfied</v>
      </c>
      <c r="AL115">
        <f t="shared" si="11"/>
        <v>33288</v>
      </c>
    </row>
    <row r="116" spans="1:38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6"/>
        <v>26-35</v>
      </c>
      <c r="AH116" t="str">
        <f t="shared" si="7"/>
        <v>Mid (3-6K)</v>
      </c>
      <c r="AI116" t="str">
        <f t="shared" si="8"/>
        <v>0-2 yrs</v>
      </c>
      <c r="AJ116" t="str">
        <f t="shared" si="9"/>
        <v>Good</v>
      </c>
      <c r="AK116" t="str">
        <f t="shared" si="10"/>
        <v>Dissatisfied</v>
      </c>
      <c r="AL116">
        <f t="shared" si="11"/>
        <v>54060</v>
      </c>
    </row>
    <row r="117" spans="1:38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6"/>
        <v>36-45</v>
      </c>
      <c r="AH117" t="str">
        <f t="shared" si="7"/>
        <v>High (6-10K)</v>
      </c>
      <c r="AI117" t="str">
        <f t="shared" si="8"/>
        <v>3-5 yrs</v>
      </c>
      <c r="AJ117" t="str">
        <f t="shared" si="9"/>
        <v>Good</v>
      </c>
      <c r="AK117" t="str">
        <f t="shared" si="10"/>
        <v>Very Satisfied</v>
      </c>
      <c r="AL117">
        <f t="shared" si="11"/>
        <v>89136</v>
      </c>
    </row>
    <row r="118" spans="1:38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6"/>
        <v>26-35</v>
      </c>
      <c r="AH118" t="str">
        <f t="shared" si="7"/>
        <v>Very High (10K+)</v>
      </c>
      <c r="AI118" t="str">
        <f t="shared" si="8"/>
        <v>10+ yrs</v>
      </c>
      <c r="AJ118" t="str">
        <f t="shared" si="9"/>
        <v>Good</v>
      </c>
      <c r="AK118" t="str">
        <f t="shared" si="10"/>
        <v>Very Dissatisfied</v>
      </c>
      <c r="AL118">
        <f t="shared" si="11"/>
        <v>139572</v>
      </c>
    </row>
    <row r="119" spans="1:38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6"/>
        <v>36-45</v>
      </c>
      <c r="AH119" t="str">
        <f t="shared" si="7"/>
        <v>High (6-10K)</v>
      </c>
      <c r="AI119" t="str">
        <f t="shared" si="8"/>
        <v>6-10 yrs</v>
      </c>
      <c r="AJ119" t="str">
        <f t="shared" si="9"/>
        <v>Good</v>
      </c>
      <c r="AK119" t="str">
        <f t="shared" si="10"/>
        <v>Very Satisfied</v>
      </c>
      <c r="AL119">
        <f t="shared" si="11"/>
        <v>116856</v>
      </c>
    </row>
    <row r="120" spans="1:38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6"/>
        <v>36-45</v>
      </c>
      <c r="AH120" t="str">
        <f t="shared" si="7"/>
        <v>Low (0-3K)</v>
      </c>
      <c r="AI120" t="str">
        <f t="shared" si="8"/>
        <v>0-2 yrs</v>
      </c>
      <c r="AJ120" t="str">
        <f t="shared" si="9"/>
        <v>Excellent</v>
      </c>
      <c r="AK120" t="str">
        <f t="shared" si="10"/>
        <v>Very Satisfied</v>
      </c>
      <c r="AL120">
        <f t="shared" si="11"/>
        <v>34020</v>
      </c>
    </row>
    <row r="121" spans="1:38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6"/>
        <v>36-45</v>
      </c>
      <c r="AH121" t="str">
        <f t="shared" si="7"/>
        <v>Very High (10K+)</v>
      </c>
      <c r="AI121" t="str">
        <f t="shared" si="8"/>
        <v>10+ yrs</v>
      </c>
      <c r="AJ121" t="str">
        <f t="shared" si="9"/>
        <v>Good</v>
      </c>
      <c r="AK121" t="str">
        <f t="shared" si="10"/>
        <v>Very Satisfied</v>
      </c>
      <c r="AL121">
        <f t="shared" si="11"/>
        <v>203508</v>
      </c>
    </row>
    <row r="122" spans="1:38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6"/>
        <v>26-35</v>
      </c>
      <c r="AH122" t="str">
        <f t="shared" si="7"/>
        <v>Low (0-3K)</v>
      </c>
      <c r="AI122" t="str">
        <f t="shared" si="8"/>
        <v>6-10 yrs</v>
      </c>
      <c r="AJ122" t="str">
        <f t="shared" si="9"/>
        <v>Excellent</v>
      </c>
      <c r="AK122" t="str">
        <f t="shared" si="10"/>
        <v>Satisfied</v>
      </c>
      <c r="AL122">
        <f t="shared" si="11"/>
        <v>31356</v>
      </c>
    </row>
    <row r="123" spans="1:38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6"/>
        <v>26-35</v>
      </c>
      <c r="AH123" t="str">
        <f t="shared" si="7"/>
        <v>High (6-10K)</v>
      </c>
      <c r="AI123" t="str">
        <f t="shared" si="8"/>
        <v>6-10 yrs</v>
      </c>
      <c r="AJ123" t="str">
        <f t="shared" si="9"/>
        <v>Good</v>
      </c>
      <c r="AK123" t="str">
        <f t="shared" si="10"/>
        <v>Dissatisfied</v>
      </c>
      <c r="AL123">
        <f t="shared" si="11"/>
        <v>73752</v>
      </c>
    </row>
    <row r="124" spans="1:38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6"/>
        <v>46+</v>
      </c>
      <c r="AH124" t="str">
        <f t="shared" si="7"/>
        <v>Mid (3-6K)</v>
      </c>
      <c r="AI124" t="str">
        <f t="shared" si="8"/>
        <v>3-5 yrs</v>
      </c>
      <c r="AJ124" t="str">
        <f t="shared" si="9"/>
        <v>Good</v>
      </c>
      <c r="AK124" t="str">
        <f t="shared" si="10"/>
        <v>Dissatisfied</v>
      </c>
      <c r="AL124">
        <f t="shared" si="11"/>
        <v>59556</v>
      </c>
    </row>
    <row r="125" spans="1:38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6"/>
        <v>46+</v>
      </c>
      <c r="AH125" t="str">
        <f t="shared" si="7"/>
        <v>Very High (10K+)</v>
      </c>
      <c r="AI125" t="str">
        <f t="shared" si="8"/>
        <v>10+ yrs</v>
      </c>
      <c r="AJ125" t="str">
        <f t="shared" si="9"/>
        <v>Good</v>
      </c>
      <c r="AK125" t="str">
        <f t="shared" si="10"/>
        <v>Satisfied</v>
      </c>
      <c r="AL125">
        <f t="shared" si="11"/>
        <v>234444</v>
      </c>
    </row>
    <row r="126" spans="1:38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6"/>
        <v>26-35</v>
      </c>
      <c r="AH126" t="str">
        <f t="shared" si="7"/>
        <v>High (6-10K)</v>
      </c>
      <c r="AI126" t="str">
        <f t="shared" si="8"/>
        <v>6-10 yrs</v>
      </c>
      <c r="AJ126" t="str">
        <f t="shared" si="9"/>
        <v>Good</v>
      </c>
      <c r="AK126" t="str">
        <f t="shared" si="10"/>
        <v>Satisfied</v>
      </c>
      <c r="AL126">
        <f t="shared" si="11"/>
        <v>74064</v>
      </c>
    </row>
    <row r="127" spans="1:38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6"/>
        <v>26-35</v>
      </c>
      <c r="AH127" t="str">
        <f t="shared" si="7"/>
        <v>Low (0-3K)</v>
      </c>
      <c r="AI127" t="str">
        <f t="shared" si="8"/>
        <v>3-5 yrs</v>
      </c>
      <c r="AJ127" t="str">
        <f t="shared" si="9"/>
        <v>Good</v>
      </c>
      <c r="AK127" t="str">
        <f t="shared" si="10"/>
        <v>Dissatisfied</v>
      </c>
      <c r="AL127">
        <f t="shared" si="11"/>
        <v>28416</v>
      </c>
    </row>
    <row r="128" spans="1:38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6"/>
        <v>46+</v>
      </c>
      <c r="AH128" t="str">
        <f t="shared" si="7"/>
        <v>Very High (10K+)</v>
      </c>
      <c r="AI128" t="str">
        <f t="shared" si="8"/>
        <v>10+ yrs</v>
      </c>
      <c r="AJ128" t="str">
        <f t="shared" si="9"/>
        <v>Good</v>
      </c>
      <c r="AK128" t="str">
        <f t="shared" si="10"/>
        <v>Very Satisfied</v>
      </c>
      <c r="AL128">
        <f t="shared" si="11"/>
        <v>123744</v>
      </c>
    </row>
    <row r="129" spans="1:38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6"/>
        <v>20-25</v>
      </c>
      <c r="AH129" t="str">
        <f t="shared" si="7"/>
        <v>Low (0-3K)</v>
      </c>
      <c r="AI129" t="str">
        <f t="shared" si="8"/>
        <v>0-2 yrs</v>
      </c>
      <c r="AJ129" t="str">
        <f t="shared" si="9"/>
        <v>Good</v>
      </c>
      <c r="AK129" t="str">
        <f t="shared" si="10"/>
        <v>Satisfied</v>
      </c>
      <c r="AL129">
        <f t="shared" si="11"/>
        <v>20100</v>
      </c>
    </row>
    <row r="130" spans="1:38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si="6"/>
        <v>20-25</v>
      </c>
      <c r="AH130" t="str">
        <f t="shared" si="7"/>
        <v>Low (0-3K)</v>
      </c>
      <c r="AI130" t="str">
        <f t="shared" si="8"/>
        <v>0-2 yrs</v>
      </c>
      <c r="AJ130" t="str">
        <f t="shared" si="9"/>
        <v>Good</v>
      </c>
      <c r="AK130" t="str">
        <f t="shared" si="10"/>
        <v>Very Satisfied</v>
      </c>
      <c r="AL130">
        <f t="shared" si="11"/>
        <v>30276</v>
      </c>
    </row>
    <row r="131" spans="1:38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ref="AG131:AG194" si="12">IF(A131&lt;=25,"20-25",IF(A131&lt;=35,"26-35",IF(A131&lt;=45,"36-45","46+")))</f>
        <v>46+</v>
      </c>
      <c r="AH131" t="str">
        <f t="shared" ref="AH131:AH194" si="13">IF(R131&lt;=3000,"Low (0-3K)",IF(R131&lt;=6000,"Mid (3-6K)",IF(R131&lt;=10000,"High (6-10K)","Very High (10K+)")))</f>
        <v>High (6-10K)</v>
      </c>
      <c r="AI131" t="str">
        <f t="shared" ref="AI131:AI194" si="14">IF(AC131&lt;=2,"0-2 yrs",IF(AC131&lt;=5,"3-5 yrs",IF(AC131&lt;=10,"6-10 yrs","10+ yrs")))</f>
        <v>10+ yrs</v>
      </c>
      <c r="AJ131" t="str">
        <f t="shared" ref="AJ131:AJ194" si="15">IF(W131=4,"Excellent",IF(W131=3,"Good",IF(W131=2,"Needs Improvement","Poor")))</f>
        <v>Good</v>
      </c>
      <c r="AK131" t="str">
        <f t="shared" ref="AK131:AK194" si="16">IF(P131=4,"Very Satisfied",IF(P131=3,"Satisfied",IF(P131=2,"Dissatisfied","Very Dissatisfied")))</f>
        <v>Very Dissatisfied</v>
      </c>
      <c r="AL131">
        <f t="shared" ref="AL131:AL194" si="17">R131*12</f>
        <v>78804</v>
      </c>
    </row>
    <row r="132" spans="1:38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12"/>
        <v>36-45</v>
      </c>
      <c r="AH132" t="str">
        <f t="shared" si="13"/>
        <v>Mid (3-6K)</v>
      </c>
      <c r="AI132" t="str">
        <f t="shared" si="14"/>
        <v>3-5 yrs</v>
      </c>
      <c r="AJ132" t="str">
        <f t="shared" si="15"/>
        <v>Good</v>
      </c>
      <c r="AK132" t="str">
        <f t="shared" si="16"/>
        <v>Satisfied</v>
      </c>
      <c r="AL132">
        <f t="shared" si="17"/>
        <v>56868</v>
      </c>
    </row>
    <row r="133" spans="1:38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12"/>
        <v>46+</v>
      </c>
      <c r="AH133" t="str">
        <f t="shared" si="13"/>
        <v>High (6-10K)</v>
      </c>
      <c r="AI133" t="str">
        <f t="shared" si="14"/>
        <v>0-2 yrs</v>
      </c>
      <c r="AJ133" t="str">
        <f t="shared" si="15"/>
        <v>Good</v>
      </c>
      <c r="AK133" t="str">
        <f t="shared" si="16"/>
        <v>Very Satisfied</v>
      </c>
      <c r="AL133">
        <f t="shared" si="17"/>
        <v>110496</v>
      </c>
    </row>
    <row r="134" spans="1:38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12"/>
        <v>26-35</v>
      </c>
      <c r="AH134" t="str">
        <f t="shared" si="13"/>
        <v>Mid (3-6K)</v>
      </c>
      <c r="AI134" t="str">
        <f t="shared" si="14"/>
        <v>0-2 yrs</v>
      </c>
      <c r="AJ134" t="str">
        <f t="shared" si="15"/>
        <v>Good</v>
      </c>
      <c r="AK134" t="str">
        <f t="shared" si="16"/>
        <v>Satisfied</v>
      </c>
      <c r="AL134">
        <f t="shared" si="17"/>
        <v>54708</v>
      </c>
    </row>
    <row r="135" spans="1:38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12"/>
        <v>36-45</v>
      </c>
      <c r="AH135" t="str">
        <f t="shared" si="13"/>
        <v>High (6-10K)</v>
      </c>
      <c r="AI135" t="str">
        <f t="shared" si="14"/>
        <v>6-10 yrs</v>
      </c>
      <c r="AJ135" t="str">
        <f t="shared" si="15"/>
        <v>Good</v>
      </c>
      <c r="AK135" t="str">
        <f t="shared" si="16"/>
        <v>Satisfied</v>
      </c>
      <c r="AL135">
        <f t="shared" si="17"/>
        <v>98268</v>
      </c>
    </row>
    <row r="136" spans="1:38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12"/>
        <v>26-35</v>
      </c>
      <c r="AH136" t="str">
        <f t="shared" si="13"/>
        <v>Low (0-3K)</v>
      </c>
      <c r="AI136" t="str">
        <f t="shared" si="14"/>
        <v>6-10 yrs</v>
      </c>
      <c r="AJ136" t="str">
        <f t="shared" si="15"/>
        <v>Excellent</v>
      </c>
      <c r="AK136" t="str">
        <f t="shared" si="16"/>
        <v>Satisfied</v>
      </c>
      <c r="AL136">
        <f t="shared" si="17"/>
        <v>35304</v>
      </c>
    </row>
    <row r="137" spans="1:38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12"/>
        <v>36-45</v>
      </c>
      <c r="AH137" t="str">
        <f t="shared" si="13"/>
        <v>Mid (3-6K)</v>
      </c>
      <c r="AI137" t="str">
        <f t="shared" si="14"/>
        <v>3-5 yrs</v>
      </c>
      <c r="AJ137" t="str">
        <f t="shared" si="15"/>
        <v>Excellent</v>
      </c>
      <c r="AK137" t="str">
        <f t="shared" si="16"/>
        <v>Dissatisfied</v>
      </c>
      <c r="AL137">
        <f t="shared" si="17"/>
        <v>59292</v>
      </c>
    </row>
    <row r="138" spans="1:38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12"/>
        <v>46+</v>
      </c>
      <c r="AH138" t="str">
        <f t="shared" si="13"/>
        <v>Very High (10K+)</v>
      </c>
      <c r="AI138" t="str">
        <f t="shared" si="14"/>
        <v>3-5 yrs</v>
      </c>
      <c r="AJ138" t="str">
        <f t="shared" si="15"/>
        <v>Good</v>
      </c>
      <c r="AK138" t="str">
        <f t="shared" si="16"/>
        <v>Very Satisfied</v>
      </c>
      <c r="AL138">
        <f t="shared" si="17"/>
        <v>127800</v>
      </c>
    </row>
    <row r="139" spans="1:38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12"/>
        <v>36-45</v>
      </c>
      <c r="AH139" t="str">
        <f t="shared" si="13"/>
        <v>Mid (3-6K)</v>
      </c>
      <c r="AI139" t="str">
        <f t="shared" si="14"/>
        <v>10+ yrs</v>
      </c>
      <c r="AJ139" t="str">
        <f t="shared" si="15"/>
        <v>Good</v>
      </c>
      <c r="AK139" t="str">
        <f t="shared" si="16"/>
        <v>Satisfied</v>
      </c>
      <c r="AL139">
        <f t="shared" si="17"/>
        <v>70824</v>
      </c>
    </row>
    <row r="140" spans="1:38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12"/>
        <v>20-25</v>
      </c>
      <c r="AH140" t="str">
        <f t="shared" si="13"/>
        <v>High (6-10K)</v>
      </c>
      <c r="AI140" t="str">
        <f t="shared" si="14"/>
        <v>0-2 yrs</v>
      </c>
      <c r="AJ140" t="str">
        <f t="shared" si="15"/>
        <v>Good</v>
      </c>
      <c r="AK140" t="str">
        <f t="shared" si="16"/>
        <v>Satisfied</v>
      </c>
      <c r="AL140">
        <f t="shared" si="17"/>
        <v>103668</v>
      </c>
    </row>
    <row r="141" spans="1:38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12"/>
        <v>26-35</v>
      </c>
      <c r="AH141" t="str">
        <f t="shared" si="13"/>
        <v>High (6-10K)</v>
      </c>
      <c r="AI141" t="str">
        <f t="shared" si="14"/>
        <v>10+ yrs</v>
      </c>
      <c r="AJ141" t="str">
        <f t="shared" si="15"/>
        <v>Good</v>
      </c>
      <c r="AK141" t="str">
        <f t="shared" si="16"/>
        <v>Very Satisfied</v>
      </c>
      <c r="AL141">
        <f t="shared" si="17"/>
        <v>76164</v>
      </c>
    </row>
    <row r="142" spans="1:38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12"/>
        <v>26-35</v>
      </c>
      <c r="AH142" t="str">
        <f t="shared" si="13"/>
        <v>Mid (3-6K)</v>
      </c>
      <c r="AI142" t="str">
        <f t="shared" si="14"/>
        <v>3-5 yrs</v>
      </c>
      <c r="AJ142" t="str">
        <f t="shared" si="15"/>
        <v>Excellent</v>
      </c>
      <c r="AK142" t="str">
        <f t="shared" si="16"/>
        <v>Very Dissatisfied</v>
      </c>
      <c r="AL142">
        <f t="shared" si="17"/>
        <v>50400</v>
      </c>
    </row>
    <row r="143" spans="1:38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12"/>
        <v>36-45</v>
      </c>
      <c r="AH143" t="str">
        <f t="shared" si="13"/>
        <v>Mid (3-6K)</v>
      </c>
      <c r="AI143" t="str">
        <f t="shared" si="14"/>
        <v>6-10 yrs</v>
      </c>
      <c r="AJ143" t="str">
        <f t="shared" si="15"/>
        <v>Good</v>
      </c>
      <c r="AK143" t="str">
        <f t="shared" si="16"/>
        <v>Very Satisfied</v>
      </c>
      <c r="AL143">
        <f t="shared" si="17"/>
        <v>41424</v>
      </c>
    </row>
    <row r="144" spans="1:38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12"/>
        <v>36-45</v>
      </c>
      <c r="AH144" t="str">
        <f t="shared" si="13"/>
        <v>Mid (3-6K)</v>
      </c>
      <c r="AI144" t="str">
        <f t="shared" si="14"/>
        <v>3-5 yrs</v>
      </c>
      <c r="AJ144" t="str">
        <f t="shared" si="15"/>
        <v>Excellent</v>
      </c>
      <c r="AK144" t="str">
        <f t="shared" si="16"/>
        <v>Satisfied</v>
      </c>
      <c r="AL144">
        <f t="shared" si="17"/>
        <v>51804</v>
      </c>
    </row>
    <row r="145" spans="1:38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12"/>
        <v>26-35</v>
      </c>
      <c r="AH145" t="str">
        <f t="shared" si="13"/>
        <v>Low (0-3K)</v>
      </c>
      <c r="AI145" t="str">
        <f t="shared" si="14"/>
        <v>3-5 yrs</v>
      </c>
      <c r="AJ145" t="str">
        <f t="shared" si="15"/>
        <v>Good</v>
      </c>
      <c r="AK145" t="str">
        <f t="shared" si="16"/>
        <v>Satisfied</v>
      </c>
      <c r="AL145">
        <f t="shared" si="17"/>
        <v>31584</v>
      </c>
    </row>
    <row r="146" spans="1:38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12"/>
        <v>26-35</v>
      </c>
      <c r="AH146" t="str">
        <f t="shared" si="13"/>
        <v>Mid (3-6K)</v>
      </c>
      <c r="AI146" t="str">
        <f t="shared" si="14"/>
        <v>6-10 yrs</v>
      </c>
      <c r="AJ146" t="str">
        <f t="shared" si="15"/>
        <v>Good</v>
      </c>
      <c r="AK146" t="str">
        <f t="shared" si="16"/>
        <v>Very Satisfied</v>
      </c>
      <c r="AL146">
        <f t="shared" si="17"/>
        <v>56016</v>
      </c>
    </row>
    <row r="147" spans="1:38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12"/>
        <v>26-35</v>
      </c>
      <c r="AH147" t="str">
        <f t="shared" si="13"/>
        <v>Mid (3-6K)</v>
      </c>
      <c r="AI147" t="str">
        <f t="shared" si="14"/>
        <v>3-5 yrs</v>
      </c>
      <c r="AJ147" t="str">
        <f t="shared" si="15"/>
        <v>Good</v>
      </c>
      <c r="AK147" t="str">
        <f t="shared" si="16"/>
        <v>Very Dissatisfied</v>
      </c>
      <c r="AL147">
        <f t="shared" si="17"/>
        <v>38448</v>
      </c>
    </row>
    <row r="148" spans="1:38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12"/>
        <v>26-35</v>
      </c>
      <c r="AH148" t="str">
        <f t="shared" si="13"/>
        <v>Low (0-3K)</v>
      </c>
      <c r="AI148" t="str">
        <f t="shared" si="14"/>
        <v>3-5 yrs</v>
      </c>
      <c r="AJ148" t="str">
        <f t="shared" si="15"/>
        <v>Good</v>
      </c>
      <c r="AK148" t="str">
        <f t="shared" si="16"/>
        <v>Very Satisfied</v>
      </c>
      <c r="AL148">
        <f t="shared" si="17"/>
        <v>32640</v>
      </c>
    </row>
    <row r="149" spans="1:38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12"/>
        <v>36-45</v>
      </c>
      <c r="AH149" t="str">
        <f t="shared" si="13"/>
        <v>Very High (10K+)</v>
      </c>
      <c r="AI149" t="str">
        <f t="shared" si="14"/>
        <v>6-10 yrs</v>
      </c>
      <c r="AJ149" t="str">
        <f t="shared" si="15"/>
        <v>Good</v>
      </c>
      <c r="AK149" t="str">
        <f t="shared" si="16"/>
        <v>Very Dissatisfied</v>
      </c>
      <c r="AL149">
        <f t="shared" si="17"/>
        <v>206172</v>
      </c>
    </row>
    <row r="150" spans="1:38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12"/>
        <v>36-45</v>
      </c>
      <c r="AH150" t="str">
        <f t="shared" si="13"/>
        <v>Low (0-3K)</v>
      </c>
      <c r="AI150" t="str">
        <f t="shared" si="14"/>
        <v>3-5 yrs</v>
      </c>
      <c r="AJ150" t="str">
        <f t="shared" si="15"/>
        <v>Excellent</v>
      </c>
      <c r="AK150" t="str">
        <f t="shared" si="16"/>
        <v>Very Dissatisfied</v>
      </c>
      <c r="AL150">
        <f t="shared" si="17"/>
        <v>26856</v>
      </c>
    </row>
    <row r="151" spans="1:38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12"/>
        <v>20-25</v>
      </c>
      <c r="AH151" t="str">
        <f t="shared" si="13"/>
        <v>Low (0-3K)</v>
      </c>
      <c r="AI151" t="str">
        <f t="shared" si="14"/>
        <v>0-2 yrs</v>
      </c>
      <c r="AJ151" t="str">
        <f t="shared" si="15"/>
        <v>Good</v>
      </c>
      <c r="AK151" t="str">
        <f t="shared" si="16"/>
        <v>Dissatisfied</v>
      </c>
      <c r="AL151">
        <f t="shared" si="17"/>
        <v>17796</v>
      </c>
    </row>
    <row r="152" spans="1:38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12"/>
        <v>36-45</v>
      </c>
      <c r="AH152" t="str">
        <f t="shared" si="13"/>
        <v>Mid (3-6K)</v>
      </c>
      <c r="AI152" t="str">
        <f t="shared" si="14"/>
        <v>10+ yrs</v>
      </c>
      <c r="AJ152" t="str">
        <f t="shared" si="15"/>
        <v>Good</v>
      </c>
      <c r="AK152" t="str">
        <f t="shared" si="16"/>
        <v>Dissatisfied</v>
      </c>
      <c r="AL152">
        <f t="shared" si="17"/>
        <v>67260</v>
      </c>
    </row>
    <row r="153" spans="1:38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12"/>
        <v>26-35</v>
      </c>
      <c r="AH153" t="str">
        <f t="shared" si="13"/>
        <v>High (6-10K)</v>
      </c>
      <c r="AI153" t="str">
        <f t="shared" si="14"/>
        <v>6-10 yrs</v>
      </c>
      <c r="AJ153" t="str">
        <f t="shared" si="15"/>
        <v>Good</v>
      </c>
      <c r="AK153" t="str">
        <f t="shared" si="16"/>
        <v>Dissatisfied</v>
      </c>
      <c r="AL153">
        <f t="shared" si="17"/>
        <v>87540</v>
      </c>
    </row>
    <row r="154" spans="1:38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12"/>
        <v>46+</v>
      </c>
      <c r="AH154" t="str">
        <f t="shared" si="13"/>
        <v>Low (0-3K)</v>
      </c>
      <c r="AI154" t="str">
        <f t="shared" si="14"/>
        <v>6-10 yrs</v>
      </c>
      <c r="AJ154" t="str">
        <f t="shared" si="15"/>
        <v>Excellent</v>
      </c>
      <c r="AK154" t="str">
        <f t="shared" si="16"/>
        <v>Satisfied</v>
      </c>
      <c r="AL154">
        <f t="shared" si="17"/>
        <v>27672</v>
      </c>
    </row>
    <row r="155" spans="1:38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12"/>
        <v>36-45</v>
      </c>
      <c r="AH155" t="str">
        <f t="shared" si="13"/>
        <v>Low (0-3K)</v>
      </c>
      <c r="AI155" t="str">
        <f t="shared" si="14"/>
        <v>10+ yrs</v>
      </c>
      <c r="AJ155" t="str">
        <f t="shared" si="15"/>
        <v>Good</v>
      </c>
      <c r="AK155" t="str">
        <f t="shared" si="16"/>
        <v>Dissatisfied</v>
      </c>
      <c r="AL155">
        <f t="shared" si="17"/>
        <v>28176</v>
      </c>
    </row>
    <row r="156" spans="1:38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12"/>
        <v>26-35</v>
      </c>
      <c r="AH156" t="str">
        <f t="shared" si="13"/>
        <v>High (6-10K)</v>
      </c>
      <c r="AI156" t="str">
        <f t="shared" si="14"/>
        <v>6-10 yrs</v>
      </c>
      <c r="AJ156" t="str">
        <f t="shared" si="15"/>
        <v>Good</v>
      </c>
      <c r="AK156" t="str">
        <f t="shared" si="16"/>
        <v>Very Satisfied</v>
      </c>
      <c r="AL156">
        <f t="shared" si="17"/>
        <v>107976</v>
      </c>
    </row>
    <row r="157" spans="1:38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12"/>
        <v>26-35</v>
      </c>
      <c r="AH157" t="str">
        <f t="shared" si="13"/>
        <v>Mid (3-6K)</v>
      </c>
      <c r="AI157" t="str">
        <f t="shared" si="14"/>
        <v>6-10 yrs</v>
      </c>
      <c r="AJ157" t="str">
        <f t="shared" si="15"/>
        <v>Good</v>
      </c>
      <c r="AK157" t="str">
        <f t="shared" si="16"/>
        <v>Satisfied</v>
      </c>
      <c r="AL157">
        <f t="shared" si="17"/>
        <v>51828</v>
      </c>
    </row>
    <row r="158" spans="1:38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12"/>
        <v>46+</v>
      </c>
      <c r="AH158" t="str">
        <f t="shared" si="13"/>
        <v>High (6-10K)</v>
      </c>
      <c r="AI158" t="str">
        <f t="shared" si="14"/>
        <v>0-2 yrs</v>
      </c>
      <c r="AJ158" t="str">
        <f t="shared" si="15"/>
        <v>Good</v>
      </c>
      <c r="AK158" t="str">
        <f t="shared" si="16"/>
        <v>Satisfied</v>
      </c>
      <c r="AL158">
        <f t="shared" si="17"/>
        <v>73584</v>
      </c>
    </row>
    <row r="159" spans="1:38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12"/>
        <v>46+</v>
      </c>
      <c r="AH159" t="str">
        <f t="shared" si="13"/>
        <v>Mid (3-6K)</v>
      </c>
      <c r="AI159" t="str">
        <f t="shared" si="14"/>
        <v>0-2 yrs</v>
      </c>
      <c r="AJ159" t="str">
        <f t="shared" si="15"/>
        <v>Excellent</v>
      </c>
      <c r="AK159" t="str">
        <f t="shared" si="16"/>
        <v>Dissatisfied</v>
      </c>
      <c r="AL159">
        <f t="shared" si="17"/>
        <v>40152</v>
      </c>
    </row>
    <row r="160" spans="1:38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12"/>
        <v>36-45</v>
      </c>
      <c r="AH160" t="str">
        <f t="shared" si="13"/>
        <v>Very High (10K+)</v>
      </c>
      <c r="AI160" t="str">
        <f t="shared" si="14"/>
        <v>10+ yrs</v>
      </c>
      <c r="AJ160" t="str">
        <f t="shared" si="15"/>
        <v>Good</v>
      </c>
      <c r="AK160" t="str">
        <f t="shared" si="16"/>
        <v>Very Satisfied</v>
      </c>
      <c r="AL160">
        <f t="shared" si="17"/>
        <v>130260</v>
      </c>
    </row>
    <row r="161" spans="1:38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12"/>
        <v>26-35</v>
      </c>
      <c r="AH161" t="str">
        <f t="shared" si="13"/>
        <v>Low (0-3K)</v>
      </c>
      <c r="AI161" t="str">
        <f t="shared" si="14"/>
        <v>3-5 yrs</v>
      </c>
      <c r="AJ161" t="str">
        <f t="shared" si="15"/>
        <v>Good</v>
      </c>
      <c r="AK161" t="str">
        <f t="shared" si="16"/>
        <v>Satisfied</v>
      </c>
      <c r="AL161">
        <f t="shared" si="17"/>
        <v>26772</v>
      </c>
    </row>
    <row r="162" spans="1:38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12"/>
        <v>20-25</v>
      </c>
      <c r="AH162" t="str">
        <f t="shared" si="13"/>
        <v>Low (0-3K)</v>
      </c>
      <c r="AI162" t="str">
        <f t="shared" si="14"/>
        <v>0-2 yrs</v>
      </c>
      <c r="AJ162" t="str">
        <f t="shared" si="15"/>
        <v>Excellent</v>
      </c>
      <c r="AK162" t="str">
        <f t="shared" si="16"/>
        <v>Very Satisfied</v>
      </c>
      <c r="AL162">
        <f t="shared" si="17"/>
        <v>27876</v>
      </c>
    </row>
    <row r="163" spans="1:38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12"/>
        <v>26-35</v>
      </c>
      <c r="AH163" t="str">
        <f t="shared" si="13"/>
        <v>Low (0-3K)</v>
      </c>
      <c r="AI163" t="str">
        <f t="shared" si="14"/>
        <v>0-2 yrs</v>
      </c>
      <c r="AJ163" t="str">
        <f t="shared" si="15"/>
        <v>Good</v>
      </c>
      <c r="AK163" t="str">
        <f t="shared" si="16"/>
        <v>Dissatisfied</v>
      </c>
      <c r="AL163">
        <f t="shared" si="17"/>
        <v>24288</v>
      </c>
    </row>
    <row r="164" spans="1:38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12"/>
        <v>26-35</v>
      </c>
      <c r="AH164" t="str">
        <f t="shared" si="13"/>
        <v>Low (0-3K)</v>
      </c>
      <c r="AI164" t="str">
        <f t="shared" si="14"/>
        <v>3-5 yrs</v>
      </c>
      <c r="AJ164" t="str">
        <f t="shared" si="15"/>
        <v>Good</v>
      </c>
      <c r="AK164" t="str">
        <f t="shared" si="16"/>
        <v>Very Satisfied</v>
      </c>
      <c r="AL164">
        <f t="shared" si="17"/>
        <v>32556</v>
      </c>
    </row>
    <row r="165" spans="1:38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12"/>
        <v>46+</v>
      </c>
      <c r="AH165" t="str">
        <f t="shared" si="13"/>
        <v>High (6-10K)</v>
      </c>
      <c r="AI165" t="str">
        <f t="shared" si="14"/>
        <v>3-5 yrs</v>
      </c>
      <c r="AJ165" t="str">
        <f t="shared" si="15"/>
        <v>Good</v>
      </c>
      <c r="AK165" t="str">
        <f t="shared" si="16"/>
        <v>Very Satisfied</v>
      </c>
      <c r="AL165">
        <f t="shared" si="17"/>
        <v>113268</v>
      </c>
    </row>
    <row r="166" spans="1:38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12"/>
        <v>26-35</v>
      </c>
      <c r="AH166" t="str">
        <f t="shared" si="13"/>
        <v>Low (0-3K)</v>
      </c>
      <c r="AI166" t="str">
        <f t="shared" si="14"/>
        <v>0-2 yrs</v>
      </c>
      <c r="AJ166" t="str">
        <f t="shared" si="15"/>
        <v>Good</v>
      </c>
      <c r="AK166" t="str">
        <f t="shared" si="16"/>
        <v>Satisfied</v>
      </c>
      <c r="AL166">
        <f t="shared" si="17"/>
        <v>30792</v>
      </c>
    </row>
    <row r="167" spans="1:38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12"/>
        <v>46+</v>
      </c>
      <c r="AH167" t="str">
        <f t="shared" si="13"/>
        <v>Very High (10K+)</v>
      </c>
      <c r="AI167" t="str">
        <f t="shared" si="14"/>
        <v>3-5 yrs</v>
      </c>
      <c r="AJ167" t="str">
        <f t="shared" si="15"/>
        <v>Good</v>
      </c>
      <c r="AK167" t="str">
        <f t="shared" si="16"/>
        <v>Dissatisfied</v>
      </c>
      <c r="AL167">
        <f t="shared" si="17"/>
        <v>239112</v>
      </c>
    </row>
    <row r="168" spans="1:38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12"/>
        <v>36-45</v>
      </c>
      <c r="AH168" t="str">
        <f t="shared" si="13"/>
        <v>Low (0-3K)</v>
      </c>
      <c r="AI168" t="str">
        <f t="shared" si="14"/>
        <v>6-10 yrs</v>
      </c>
      <c r="AJ168" t="str">
        <f t="shared" si="15"/>
        <v>Good</v>
      </c>
      <c r="AK168" t="str">
        <f t="shared" si="16"/>
        <v>Satisfied</v>
      </c>
      <c r="AL168">
        <f t="shared" si="17"/>
        <v>29412</v>
      </c>
    </row>
    <row r="169" spans="1:38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12"/>
        <v>26-35</v>
      </c>
      <c r="AH169" t="str">
        <f t="shared" si="13"/>
        <v>High (6-10K)</v>
      </c>
      <c r="AI169" t="str">
        <f t="shared" si="14"/>
        <v>6-10 yrs</v>
      </c>
      <c r="AJ169" t="str">
        <f t="shared" si="15"/>
        <v>Good</v>
      </c>
      <c r="AK169" t="str">
        <f t="shared" si="16"/>
        <v>Very Satisfied</v>
      </c>
      <c r="AL169">
        <f t="shared" si="17"/>
        <v>113028</v>
      </c>
    </row>
    <row r="170" spans="1:38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12"/>
        <v>36-45</v>
      </c>
      <c r="AH170" t="str">
        <f t="shared" si="13"/>
        <v>High (6-10K)</v>
      </c>
      <c r="AI170" t="str">
        <f t="shared" si="14"/>
        <v>6-10 yrs</v>
      </c>
      <c r="AJ170" t="str">
        <f t="shared" si="15"/>
        <v>Excellent</v>
      </c>
      <c r="AK170" t="str">
        <f t="shared" si="16"/>
        <v>Very Satisfied</v>
      </c>
      <c r="AL170">
        <f t="shared" si="17"/>
        <v>104232</v>
      </c>
    </row>
    <row r="171" spans="1:38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12"/>
        <v>26-35</v>
      </c>
      <c r="AH171" t="str">
        <f t="shared" si="13"/>
        <v>Mid (3-6K)</v>
      </c>
      <c r="AI171" t="str">
        <f t="shared" si="14"/>
        <v>3-5 yrs</v>
      </c>
      <c r="AJ171" t="str">
        <f t="shared" si="15"/>
        <v>Excellent</v>
      </c>
      <c r="AK171" t="str">
        <f t="shared" si="16"/>
        <v>Satisfied</v>
      </c>
      <c r="AL171">
        <f t="shared" si="17"/>
        <v>36456</v>
      </c>
    </row>
    <row r="172" spans="1:38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12"/>
        <v>26-35</v>
      </c>
      <c r="AH172" t="str">
        <f t="shared" si="13"/>
        <v>Mid (3-6K)</v>
      </c>
      <c r="AI172" t="str">
        <f t="shared" si="14"/>
        <v>3-5 yrs</v>
      </c>
      <c r="AJ172" t="str">
        <f t="shared" si="15"/>
        <v>Good</v>
      </c>
      <c r="AK172" t="str">
        <f t="shared" si="16"/>
        <v>Dissatisfied</v>
      </c>
      <c r="AL172">
        <f t="shared" si="17"/>
        <v>36696</v>
      </c>
    </row>
    <row r="173" spans="1:38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12"/>
        <v>20-25</v>
      </c>
      <c r="AH173" t="str">
        <f t="shared" si="13"/>
        <v>Low (0-3K)</v>
      </c>
      <c r="AI173" t="str">
        <f t="shared" si="14"/>
        <v>0-2 yrs</v>
      </c>
      <c r="AJ173" t="str">
        <f t="shared" si="15"/>
        <v>Excellent</v>
      </c>
      <c r="AK173" t="str">
        <f t="shared" si="16"/>
        <v>Very Dissatisfied</v>
      </c>
      <c r="AL173">
        <f t="shared" si="17"/>
        <v>27900</v>
      </c>
    </row>
    <row r="174" spans="1:38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12"/>
        <v>36-45</v>
      </c>
      <c r="AH174" t="str">
        <f t="shared" si="13"/>
        <v>Low (0-3K)</v>
      </c>
      <c r="AI174" t="str">
        <f t="shared" si="14"/>
        <v>6-10 yrs</v>
      </c>
      <c r="AJ174" t="str">
        <f t="shared" si="15"/>
        <v>Good</v>
      </c>
      <c r="AK174" t="str">
        <f t="shared" si="16"/>
        <v>Dissatisfied</v>
      </c>
      <c r="AL174">
        <f t="shared" si="17"/>
        <v>25056</v>
      </c>
    </row>
    <row r="175" spans="1:38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12"/>
        <v>26-35</v>
      </c>
      <c r="AH175" t="str">
        <f t="shared" si="13"/>
        <v>Mid (3-6K)</v>
      </c>
      <c r="AI175" t="str">
        <f t="shared" si="14"/>
        <v>10+ yrs</v>
      </c>
      <c r="AJ175" t="str">
        <f t="shared" si="15"/>
        <v>Good</v>
      </c>
      <c r="AK175" t="str">
        <f t="shared" si="16"/>
        <v>Very Dissatisfied</v>
      </c>
      <c r="AL175">
        <f t="shared" si="17"/>
        <v>36864</v>
      </c>
    </row>
    <row r="176" spans="1:38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12"/>
        <v>36-45</v>
      </c>
      <c r="AH176" t="str">
        <f t="shared" si="13"/>
        <v>Mid (3-6K)</v>
      </c>
      <c r="AI176" t="str">
        <f t="shared" si="14"/>
        <v>3-5 yrs</v>
      </c>
      <c r="AJ176" t="str">
        <f t="shared" si="15"/>
        <v>Good</v>
      </c>
      <c r="AK176" t="str">
        <f t="shared" si="16"/>
        <v>Very Dissatisfied</v>
      </c>
      <c r="AL176">
        <f t="shared" si="17"/>
        <v>60072</v>
      </c>
    </row>
    <row r="177" spans="1:38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12"/>
        <v>46+</v>
      </c>
      <c r="AH177" t="str">
        <f t="shared" si="13"/>
        <v>Mid (3-6K)</v>
      </c>
      <c r="AI177" t="str">
        <f t="shared" si="14"/>
        <v>0-2 yrs</v>
      </c>
      <c r="AJ177" t="str">
        <f t="shared" si="15"/>
        <v>Good</v>
      </c>
      <c r="AK177" t="str">
        <f t="shared" si="16"/>
        <v>Very Dissatisfied</v>
      </c>
      <c r="AL177">
        <f t="shared" si="17"/>
        <v>51084</v>
      </c>
    </row>
    <row r="178" spans="1:38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12"/>
        <v>26-35</v>
      </c>
      <c r="AH178" t="str">
        <f t="shared" si="13"/>
        <v>Low (0-3K)</v>
      </c>
      <c r="AI178" t="str">
        <f t="shared" si="14"/>
        <v>3-5 yrs</v>
      </c>
      <c r="AJ178" t="str">
        <f t="shared" si="15"/>
        <v>Good</v>
      </c>
      <c r="AK178" t="str">
        <f t="shared" si="16"/>
        <v>Very Satisfied</v>
      </c>
      <c r="AL178">
        <f t="shared" si="17"/>
        <v>30000</v>
      </c>
    </row>
    <row r="179" spans="1:38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12"/>
        <v>20-25</v>
      </c>
      <c r="AH179" t="str">
        <f t="shared" si="13"/>
        <v>Low (0-3K)</v>
      </c>
      <c r="AI179" t="str">
        <f t="shared" si="14"/>
        <v>0-2 yrs</v>
      </c>
      <c r="AJ179" t="str">
        <f t="shared" si="15"/>
        <v>Excellent</v>
      </c>
      <c r="AK179" t="str">
        <f t="shared" si="16"/>
        <v>Very Satisfied</v>
      </c>
      <c r="AL179">
        <f t="shared" si="17"/>
        <v>13224</v>
      </c>
    </row>
    <row r="180" spans="1:38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12"/>
        <v>46+</v>
      </c>
      <c r="AH180" t="str">
        <f t="shared" si="13"/>
        <v>Very High (10K+)</v>
      </c>
      <c r="AI180" t="str">
        <f t="shared" si="14"/>
        <v>10+ yrs</v>
      </c>
      <c r="AJ180" t="str">
        <f t="shared" si="15"/>
        <v>Excellent</v>
      </c>
      <c r="AK180" t="str">
        <f t="shared" si="16"/>
        <v>Very Dissatisfied</v>
      </c>
      <c r="AL180">
        <f t="shared" si="17"/>
        <v>125436</v>
      </c>
    </row>
    <row r="181" spans="1:38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12"/>
        <v>36-45</v>
      </c>
      <c r="AH181" t="str">
        <f t="shared" si="13"/>
        <v>Low (0-3K)</v>
      </c>
      <c r="AI181" t="str">
        <f t="shared" si="14"/>
        <v>0-2 yrs</v>
      </c>
      <c r="AJ181" t="str">
        <f t="shared" si="15"/>
        <v>Good</v>
      </c>
      <c r="AK181" t="str">
        <f t="shared" si="16"/>
        <v>Very Satisfied</v>
      </c>
      <c r="AL181">
        <f t="shared" si="17"/>
        <v>27456</v>
      </c>
    </row>
    <row r="182" spans="1:38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12"/>
        <v>26-35</v>
      </c>
      <c r="AH182" t="str">
        <f t="shared" si="13"/>
        <v>Mid (3-6K)</v>
      </c>
      <c r="AI182" t="str">
        <f t="shared" si="14"/>
        <v>3-5 yrs</v>
      </c>
      <c r="AJ182" t="str">
        <f t="shared" si="15"/>
        <v>Excellent</v>
      </c>
      <c r="AK182" t="str">
        <f t="shared" si="16"/>
        <v>Very Satisfied</v>
      </c>
      <c r="AL182">
        <f t="shared" si="17"/>
        <v>47148</v>
      </c>
    </row>
    <row r="183" spans="1:38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12"/>
        <v>26-35</v>
      </c>
      <c r="AH183" t="str">
        <f t="shared" si="13"/>
        <v>Low (0-3K)</v>
      </c>
      <c r="AI183" t="str">
        <f t="shared" si="14"/>
        <v>3-5 yrs</v>
      </c>
      <c r="AJ183" t="str">
        <f t="shared" si="15"/>
        <v>Good</v>
      </c>
      <c r="AK183" t="str">
        <f t="shared" si="16"/>
        <v>Dissatisfied</v>
      </c>
      <c r="AL183">
        <f t="shared" si="17"/>
        <v>27732</v>
      </c>
    </row>
    <row r="184" spans="1:38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12"/>
        <v>36-45</v>
      </c>
      <c r="AH184" t="str">
        <f t="shared" si="13"/>
        <v>Mid (3-6K)</v>
      </c>
      <c r="AI184" t="str">
        <f t="shared" si="14"/>
        <v>3-5 yrs</v>
      </c>
      <c r="AJ184" t="str">
        <f t="shared" si="15"/>
        <v>Excellent</v>
      </c>
      <c r="AK184" t="str">
        <f t="shared" si="16"/>
        <v>Dissatisfied</v>
      </c>
      <c r="AL184">
        <f t="shared" si="17"/>
        <v>37680</v>
      </c>
    </row>
    <row r="185" spans="1:38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12"/>
        <v>46+</v>
      </c>
      <c r="AH185" t="str">
        <f t="shared" si="13"/>
        <v>Mid (3-6K)</v>
      </c>
      <c r="AI185" t="str">
        <f t="shared" si="14"/>
        <v>3-5 yrs</v>
      </c>
      <c r="AJ185" t="str">
        <f t="shared" si="15"/>
        <v>Good</v>
      </c>
      <c r="AK185" t="str">
        <f t="shared" si="16"/>
        <v>Satisfied</v>
      </c>
      <c r="AL185">
        <f t="shared" si="17"/>
        <v>44280</v>
      </c>
    </row>
    <row r="186" spans="1:38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12"/>
        <v>46+</v>
      </c>
      <c r="AH186" t="str">
        <f t="shared" si="13"/>
        <v>Mid (3-6K)</v>
      </c>
      <c r="AI186" t="str">
        <f t="shared" si="14"/>
        <v>3-5 yrs</v>
      </c>
      <c r="AJ186" t="str">
        <f t="shared" si="15"/>
        <v>Good</v>
      </c>
      <c r="AK186" t="str">
        <f t="shared" si="16"/>
        <v>Very Dissatisfied</v>
      </c>
      <c r="AL186">
        <f t="shared" si="17"/>
        <v>53400</v>
      </c>
    </row>
    <row r="187" spans="1:38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12"/>
        <v>26-35</v>
      </c>
      <c r="AH187" t="str">
        <f t="shared" si="13"/>
        <v>Low (0-3K)</v>
      </c>
      <c r="AI187" t="str">
        <f t="shared" si="14"/>
        <v>6-10 yrs</v>
      </c>
      <c r="AJ187" t="str">
        <f t="shared" si="15"/>
        <v>Good</v>
      </c>
      <c r="AK187" t="str">
        <f t="shared" si="16"/>
        <v>Dissatisfied</v>
      </c>
      <c r="AL187">
        <f t="shared" si="17"/>
        <v>33072</v>
      </c>
    </row>
    <row r="188" spans="1:38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12"/>
        <v>36-45</v>
      </c>
      <c r="AH188" t="str">
        <f t="shared" si="13"/>
        <v>Very High (10K+)</v>
      </c>
      <c r="AI188" t="str">
        <f t="shared" si="14"/>
        <v>10+ yrs</v>
      </c>
      <c r="AJ188" t="str">
        <f t="shared" si="15"/>
        <v>Good</v>
      </c>
      <c r="AK188" t="str">
        <f t="shared" si="16"/>
        <v>Satisfied</v>
      </c>
      <c r="AL188">
        <f t="shared" si="17"/>
        <v>228396</v>
      </c>
    </row>
    <row r="189" spans="1:38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12"/>
        <v>46+</v>
      </c>
      <c r="AH189" t="str">
        <f t="shared" si="13"/>
        <v>Very High (10K+)</v>
      </c>
      <c r="AI189" t="str">
        <f t="shared" si="14"/>
        <v>10+ yrs</v>
      </c>
      <c r="AJ189" t="str">
        <f t="shared" si="15"/>
        <v>Good</v>
      </c>
      <c r="AK189" t="str">
        <f t="shared" si="16"/>
        <v>Dissatisfied</v>
      </c>
      <c r="AL189">
        <f t="shared" si="17"/>
        <v>224664</v>
      </c>
    </row>
    <row r="190" spans="1:38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12"/>
        <v>26-35</v>
      </c>
      <c r="AH190" t="str">
        <f t="shared" si="13"/>
        <v>High (6-10K)</v>
      </c>
      <c r="AI190" t="str">
        <f t="shared" si="14"/>
        <v>6-10 yrs</v>
      </c>
      <c r="AJ190" t="str">
        <f t="shared" si="15"/>
        <v>Good</v>
      </c>
      <c r="AK190" t="str">
        <f t="shared" si="16"/>
        <v>Satisfied</v>
      </c>
      <c r="AL190">
        <f t="shared" si="17"/>
        <v>114564</v>
      </c>
    </row>
    <row r="191" spans="1:38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12"/>
        <v>46+</v>
      </c>
      <c r="AH191" t="str">
        <f t="shared" si="13"/>
        <v>Very High (10K+)</v>
      </c>
      <c r="AI191" t="str">
        <f t="shared" si="14"/>
        <v>6-10 yrs</v>
      </c>
      <c r="AJ191" t="str">
        <f t="shared" si="15"/>
        <v>Good</v>
      </c>
      <c r="AK191" t="str">
        <f t="shared" si="16"/>
        <v>Dissatisfied</v>
      </c>
      <c r="AL191">
        <f t="shared" si="17"/>
        <v>164808</v>
      </c>
    </row>
    <row r="192" spans="1:38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12"/>
        <v>46+</v>
      </c>
      <c r="AH192" t="str">
        <f t="shared" si="13"/>
        <v>Very High (10K+)</v>
      </c>
      <c r="AI192" t="str">
        <f t="shared" si="14"/>
        <v>10+ yrs</v>
      </c>
      <c r="AJ192" t="str">
        <f t="shared" si="15"/>
        <v>Good</v>
      </c>
      <c r="AK192" t="str">
        <f t="shared" si="16"/>
        <v>Satisfied</v>
      </c>
      <c r="AL192">
        <f t="shared" si="17"/>
        <v>239988</v>
      </c>
    </row>
    <row r="193" spans="1:38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12"/>
        <v>26-35</v>
      </c>
      <c r="AH193" t="str">
        <f t="shared" si="13"/>
        <v>Low (0-3K)</v>
      </c>
      <c r="AI193" t="str">
        <f t="shared" si="14"/>
        <v>6-10 yrs</v>
      </c>
      <c r="AJ193" t="str">
        <f t="shared" si="15"/>
        <v>Good</v>
      </c>
      <c r="AK193" t="str">
        <f t="shared" si="16"/>
        <v>Dissatisfied</v>
      </c>
      <c r="AL193">
        <f t="shared" si="17"/>
        <v>27348</v>
      </c>
    </row>
    <row r="194" spans="1:38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si="12"/>
        <v>26-35</v>
      </c>
      <c r="AH194" t="str">
        <f t="shared" si="13"/>
        <v>Mid (3-6K)</v>
      </c>
      <c r="AI194" t="str">
        <f t="shared" si="14"/>
        <v>0-2 yrs</v>
      </c>
      <c r="AJ194" t="str">
        <f t="shared" si="15"/>
        <v>Good</v>
      </c>
      <c r="AK194" t="str">
        <f t="shared" si="16"/>
        <v>Satisfied</v>
      </c>
      <c r="AL194">
        <f t="shared" si="17"/>
        <v>70992</v>
      </c>
    </row>
    <row r="195" spans="1:38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ref="AG195:AG258" si="18">IF(A195&lt;=25,"20-25",IF(A195&lt;=35,"26-35",IF(A195&lt;=45,"36-45","46+")))</f>
        <v>36-45</v>
      </c>
      <c r="AH195" t="str">
        <f t="shared" ref="AH195:AH258" si="19">IF(R195&lt;=3000,"Low (0-3K)",IF(R195&lt;=6000,"Mid (3-6K)",IF(R195&lt;=10000,"High (6-10K)","Very High (10K+)")))</f>
        <v>Low (0-3K)</v>
      </c>
      <c r="AI195" t="str">
        <f t="shared" ref="AI195:AI258" si="20">IF(AC195&lt;=2,"0-2 yrs",IF(AC195&lt;=5,"3-5 yrs",IF(AC195&lt;=10,"6-10 yrs","10+ yrs")))</f>
        <v>3-5 yrs</v>
      </c>
      <c r="AJ195" t="str">
        <f t="shared" ref="AJ195:AJ258" si="21">IF(W195=4,"Excellent",IF(W195=3,"Good",IF(W195=2,"Needs Improvement","Poor")))</f>
        <v>Good</v>
      </c>
      <c r="AK195" t="str">
        <f t="shared" ref="AK195:AK258" si="22">IF(P195=4,"Very Satisfied",IF(P195=3,"Satisfied",IF(P195=2,"Dissatisfied","Very Dissatisfied")))</f>
        <v>Very Satisfied</v>
      </c>
      <c r="AL195">
        <f t="shared" ref="AL195:AL258" si="23">R195*12</f>
        <v>25068</v>
      </c>
    </row>
    <row r="196" spans="1:38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18"/>
        <v>36-45</v>
      </c>
      <c r="AH196" t="str">
        <f t="shared" si="19"/>
        <v>Very High (10K+)</v>
      </c>
      <c r="AI196" t="str">
        <f t="shared" si="20"/>
        <v>10+ yrs</v>
      </c>
      <c r="AJ196" t="str">
        <f t="shared" si="21"/>
        <v>Excellent</v>
      </c>
      <c r="AK196" t="str">
        <f t="shared" si="22"/>
        <v>Very Satisfied</v>
      </c>
      <c r="AL196">
        <f t="shared" si="23"/>
        <v>201504</v>
      </c>
    </row>
    <row r="197" spans="1:38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18"/>
        <v>36-45</v>
      </c>
      <c r="AH197" t="str">
        <f t="shared" si="19"/>
        <v>Mid (3-6K)</v>
      </c>
      <c r="AI197" t="str">
        <f t="shared" si="20"/>
        <v>6-10 yrs</v>
      </c>
      <c r="AJ197" t="str">
        <f t="shared" si="21"/>
        <v>Good</v>
      </c>
      <c r="AK197" t="str">
        <f t="shared" si="22"/>
        <v>Very Dissatisfied</v>
      </c>
      <c r="AL197">
        <f t="shared" si="23"/>
        <v>42768</v>
      </c>
    </row>
    <row r="198" spans="1:38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18"/>
        <v>26-35</v>
      </c>
      <c r="AH198" t="str">
        <f t="shared" si="19"/>
        <v>Mid (3-6K)</v>
      </c>
      <c r="AI198" t="str">
        <f t="shared" si="20"/>
        <v>6-10 yrs</v>
      </c>
      <c r="AJ198" t="str">
        <f t="shared" si="21"/>
        <v>Good</v>
      </c>
      <c r="AK198" t="str">
        <f t="shared" si="22"/>
        <v>Dissatisfied</v>
      </c>
      <c r="AL198">
        <f t="shared" si="23"/>
        <v>53100</v>
      </c>
    </row>
    <row r="199" spans="1:38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18"/>
        <v>36-45</v>
      </c>
      <c r="AH199" t="str">
        <f t="shared" si="19"/>
        <v>Mid (3-6K)</v>
      </c>
      <c r="AI199" t="str">
        <f t="shared" si="20"/>
        <v>3-5 yrs</v>
      </c>
      <c r="AJ199" t="str">
        <f t="shared" si="21"/>
        <v>Good</v>
      </c>
      <c r="AK199" t="str">
        <f t="shared" si="22"/>
        <v>Satisfied</v>
      </c>
      <c r="AL199">
        <f t="shared" si="23"/>
        <v>63180</v>
      </c>
    </row>
    <row r="200" spans="1:38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18"/>
        <v>36-45</v>
      </c>
      <c r="AH200" t="str">
        <f t="shared" si="19"/>
        <v>High (6-10K)</v>
      </c>
      <c r="AI200" t="str">
        <f t="shared" si="20"/>
        <v>0-2 yrs</v>
      </c>
      <c r="AJ200" t="str">
        <f t="shared" si="21"/>
        <v>Good</v>
      </c>
      <c r="AK200" t="str">
        <f t="shared" si="22"/>
        <v>Satisfied</v>
      </c>
      <c r="AL200">
        <f t="shared" si="23"/>
        <v>78636</v>
      </c>
    </row>
    <row r="201" spans="1:38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18"/>
        <v>36-45</v>
      </c>
      <c r="AH201" t="str">
        <f t="shared" si="19"/>
        <v>High (6-10K)</v>
      </c>
      <c r="AI201" t="str">
        <f t="shared" si="20"/>
        <v>6-10 yrs</v>
      </c>
      <c r="AJ201" t="str">
        <f t="shared" si="21"/>
        <v>Good</v>
      </c>
      <c r="AK201" t="str">
        <f t="shared" si="22"/>
        <v>Very Satisfied</v>
      </c>
      <c r="AL201">
        <f t="shared" si="23"/>
        <v>75132</v>
      </c>
    </row>
    <row r="202" spans="1:38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18"/>
        <v>26-35</v>
      </c>
      <c r="AH202" t="str">
        <f t="shared" si="19"/>
        <v>Mid (3-6K)</v>
      </c>
      <c r="AI202" t="str">
        <f t="shared" si="20"/>
        <v>0-2 yrs</v>
      </c>
      <c r="AJ202" t="str">
        <f t="shared" si="21"/>
        <v>Good</v>
      </c>
      <c r="AK202" t="str">
        <f t="shared" si="22"/>
        <v>Very Dissatisfied</v>
      </c>
      <c r="AL202">
        <f t="shared" si="23"/>
        <v>51576</v>
      </c>
    </row>
    <row r="203" spans="1:38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18"/>
        <v>46+</v>
      </c>
      <c r="AH203" t="str">
        <f t="shared" si="19"/>
        <v>High (6-10K)</v>
      </c>
      <c r="AI203" t="str">
        <f t="shared" si="20"/>
        <v>6-10 yrs</v>
      </c>
      <c r="AJ203" t="str">
        <f t="shared" si="21"/>
        <v>Good</v>
      </c>
      <c r="AK203" t="str">
        <f t="shared" si="22"/>
        <v>Very Satisfied</v>
      </c>
      <c r="AL203">
        <f t="shared" si="23"/>
        <v>81648</v>
      </c>
    </row>
    <row r="204" spans="1:38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18"/>
        <v>26-35</v>
      </c>
      <c r="AH204" t="str">
        <f t="shared" si="19"/>
        <v>Mid (3-6K)</v>
      </c>
      <c r="AI204" t="str">
        <f t="shared" si="20"/>
        <v>3-5 yrs</v>
      </c>
      <c r="AJ204" t="str">
        <f t="shared" si="21"/>
        <v>Good</v>
      </c>
      <c r="AK204" t="str">
        <f t="shared" si="22"/>
        <v>Satisfied</v>
      </c>
      <c r="AL204">
        <f t="shared" si="23"/>
        <v>45780</v>
      </c>
    </row>
    <row r="205" spans="1:38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18"/>
        <v>36-45</v>
      </c>
      <c r="AH205" t="str">
        <f t="shared" si="19"/>
        <v>Low (0-3K)</v>
      </c>
      <c r="AI205" t="str">
        <f t="shared" si="20"/>
        <v>6-10 yrs</v>
      </c>
      <c r="AJ205" t="str">
        <f t="shared" si="21"/>
        <v>Good</v>
      </c>
      <c r="AK205" t="str">
        <f t="shared" si="22"/>
        <v>Very Satisfied</v>
      </c>
      <c r="AL205">
        <f t="shared" si="23"/>
        <v>32892</v>
      </c>
    </row>
    <row r="206" spans="1:38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18"/>
        <v>36-45</v>
      </c>
      <c r="AH206" t="str">
        <f t="shared" si="19"/>
        <v>High (6-10K)</v>
      </c>
      <c r="AI206" t="str">
        <f t="shared" si="20"/>
        <v>0-2 yrs</v>
      </c>
      <c r="AJ206" t="str">
        <f t="shared" si="21"/>
        <v>Good</v>
      </c>
      <c r="AK206" t="str">
        <f t="shared" si="22"/>
        <v>Very Dissatisfied</v>
      </c>
      <c r="AL206">
        <f t="shared" si="23"/>
        <v>80076</v>
      </c>
    </row>
    <row r="207" spans="1:38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18"/>
        <v>26-35</v>
      </c>
      <c r="AH207" t="str">
        <f t="shared" si="19"/>
        <v>High (6-10K)</v>
      </c>
      <c r="AI207" t="str">
        <f t="shared" si="20"/>
        <v>6-10 yrs</v>
      </c>
      <c r="AJ207" t="str">
        <f t="shared" si="21"/>
        <v>Excellent</v>
      </c>
      <c r="AK207" t="str">
        <f t="shared" si="22"/>
        <v>Very Satisfied</v>
      </c>
      <c r="AL207">
        <f t="shared" si="23"/>
        <v>91668</v>
      </c>
    </row>
    <row r="208" spans="1:38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18"/>
        <v>20-25</v>
      </c>
      <c r="AH208" t="str">
        <f t="shared" si="19"/>
        <v>Low (0-3K)</v>
      </c>
      <c r="AI208" t="str">
        <f t="shared" si="20"/>
        <v>3-5 yrs</v>
      </c>
      <c r="AJ208" t="str">
        <f t="shared" si="21"/>
        <v>Good</v>
      </c>
      <c r="AK208" t="str">
        <f t="shared" si="22"/>
        <v>Dissatisfied</v>
      </c>
      <c r="AL208">
        <f t="shared" si="23"/>
        <v>27936</v>
      </c>
    </row>
    <row r="209" spans="1:38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18"/>
        <v>36-45</v>
      </c>
      <c r="AH209" t="str">
        <f t="shared" si="19"/>
        <v>Low (0-3K)</v>
      </c>
      <c r="AI209" t="str">
        <f t="shared" si="20"/>
        <v>6-10 yrs</v>
      </c>
      <c r="AJ209" t="str">
        <f t="shared" si="21"/>
        <v>Good</v>
      </c>
      <c r="AK209" t="str">
        <f t="shared" si="22"/>
        <v>Very Satisfied</v>
      </c>
      <c r="AL209">
        <f t="shared" si="23"/>
        <v>25836</v>
      </c>
    </row>
    <row r="210" spans="1:38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18"/>
        <v>36-45</v>
      </c>
      <c r="AH210" t="str">
        <f t="shared" si="19"/>
        <v>Mid (3-6K)</v>
      </c>
      <c r="AI210" t="str">
        <f t="shared" si="20"/>
        <v>3-5 yrs</v>
      </c>
      <c r="AJ210" t="str">
        <f t="shared" si="21"/>
        <v>Good</v>
      </c>
      <c r="AK210" t="str">
        <f t="shared" si="22"/>
        <v>Very Satisfied</v>
      </c>
      <c r="AL210">
        <f t="shared" si="23"/>
        <v>58512</v>
      </c>
    </row>
    <row r="211" spans="1:38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18"/>
        <v>46+</v>
      </c>
      <c r="AH211" t="str">
        <f t="shared" si="19"/>
        <v>High (6-10K)</v>
      </c>
      <c r="AI211" t="str">
        <f t="shared" si="20"/>
        <v>3-5 yrs</v>
      </c>
      <c r="AJ211" t="str">
        <f t="shared" si="21"/>
        <v>Good</v>
      </c>
      <c r="AK211" t="str">
        <f t="shared" si="22"/>
        <v>Very Dissatisfied</v>
      </c>
      <c r="AL211">
        <f t="shared" si="23"/>
        <v>112752</v>
      </c>
    </row>
    <row r="212" spans="1:38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18"/>
        <v>26-35</v>
      </c>
      <c r="AH212" t="str">
        <f t="shared" si="19"/>
        <v>Very High (10K+)</v>
      </c>
      <c r="AI212" t="str">
        <f t="shared" si="20"/>
        <v>10+ yrs</v>
      </c>
      <c r="AJ212" t="str">
        <f t="shared" si="21"/>
        <v>Good</v>
      </c>
      <c r="AK212" t="str">
        <f t="shared" si="22"/>
        <v>Very Satisfied</v>
      </c>
      <c r="AL212">
        <f t="shared" si="23"/>
        <v>124800</v>
      </c>
    </row>
    <row r="213" spans="1:38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18"/>
        <v>26-35</v>
      </c>
      <c r="AH213" t="str">
        <f t="shared" si="19"/>
        <v>High (6-10K)</v>
      </c>
      <c r="AI213" t="str">
        <f t="shared" si="20"/>
        <v>10+ yrs</v>
      </c>
      <c r="AJ213" t="str">
        <f t="shared" si="21"/>
        <v>Excellent</v>
      </c>
      <c r="AK213" t="str">
        <f t="shared" si="22"/>
        <v>Satisfied</v>
      </c>
      <c r="AL213">
        <f t="shared" si="23"/>
        <v>101688</v>
      </c>
    </row>
    <row r="214" spans="1:38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18"/>
        <v>26-35</v>
      </c>
      <c r="AH214" t="str">
        <f t="shared" si="19"/>
        <v>High (6-10K)</v>
      </c>
      <c r="AI214" t="str">
        <f t="shared" si="20"/>
        <v>6-10 yrs</v>
      </c>
      <c r="AJ214" t="str">
        <f t="shared" si="21"/>
        <v>Good</v>
      </c>
      <c r="AK214" t="str">
        <f t="shared" si="22"/>
        <v>Satisfied</v>
      </c>
      <c r="AL214">
        <f t="shared" si="23"/>
        <v>119772</v>
      </c>
    </row>
    <row r="215" spans="1:38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18"/>
        <v>46+</v>
      </c>
      <c r="AH215" t="str">
        <f t="shared" si="19"/>
        <v>Very High (10K+)</v>
      </c>
      <c r="AI215" t="str">
        <f t="shared" si="20"/>
        <v>6-10 yrs</v>
      </c>
      <c r="AJ215" t="str">
        <f t="shared" si="21"/>
        <v>Good</v>
      </c>
      <c r="AK215" t="str">
        <f t="shared" si="22"/>
        <v>Dissatisfied</v>
      </c>
      <c r="AL215">
        <f t="shared" si="23"/>
        <v>149880</v>
      </c>
    </row>
    <row r="216" spans="1:38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18"/>
        <v>26-35</v>
      </c>
      <c r="AH216" t="str">
        <f t="shared" si="19"/>
        <v>Low (0-3K)</v>
      </c>
      <c r="AI216" t="str">
        <f t="shared" si="20"/>
        <v>3-5 yrs</v>
      </c>
      <c r="AJ216" t="str">
        <f t="shared" si="21"/>
        <v>Good</v>
      </c>
      <c r="AK216" t="str">
        <f t="shared" si="22"/>
        <v>Very Dissatisfied</v>
      </c>
      <c r="AL216">
        <f t="shared" si="23"/>
        <v>31884</v>
      </c>
    </row>
    <row r="217" spans="1:38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18"/>
        <v>36-45</v>
      </c>
      <c r="AH217" t="str">
        <f t="shared" si="19"/>
        <v>Very High (10K+)</v>
      </c>
      <c r="AI217" t="str">
        <f t="shared" si="20"/>
        <v>0-2 yrs</v>
      </c>
      <c r="AJ217" t="str">
        <f t="shared" si="21"/>
        <v>Good</v>
      </c>
      <c r="AK217" t="str">
        <f t="shared" si="22"/>
        <v>Very Satisfied</v>
      </c>
      <c r="AL217">
        <f t="shared" si="23"/>
        <v>163092</v>
      </c>
    </row>
    <row r="218" spans="1:38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18"/>
        <v>26-35</v>
      </c>
      <c r="AH218" t="str">
        <f t="shared" si="19"/>
        <v>High (6-10K)</v>
      </c>
      <c r="AI218" t="str">
        <f t="shared" si="20"/>
        <v>6-10 yrs</v>
      </c>
      <c r="AJ218" t="str">
        <f t="shared" si="21"/>
        <v>Good</v>
      </c>
      <c r="AK218" t="str">
        <f t="shared" si="22"/>
        <v>Very Dissatisfied</v>
      </c>
      <c r="AL218">
        <f t="shared" si="23"/>
        <v>80352</v>
      </c>
    </row>
    <row r="219" spans="1:38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18"/>
        <v>26-35</v>
      </c>
      <c r="AH219" t="str">
        <f t="shared" si="19"/>
        <v>Low (0-3K)</v>
      </c>
      <c r="AI219" t="str">
        <f t="shared" si="20"/>
        <v>6-10 yrs</v>
      </c>
      <c r="AJ219" t="str">
        <f t="shared" si="21"/>
        <v>Good</v>
      </c>
      <c r="AK219" t="str">
        <f t="shared" si="22"/>
        <v>Satisfied</v>
      </c>
      <c r="AL219">
        <f t="shared" si="23"/>
        <v>24696</v>
      </c>
    </row>
    <row r="220" spans="1:38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18"/>
        <v>36-45</v>
      </c>
      <c r="AH220" t="str">
        <f t="shared" si="19"/>
        <v>High (6-10K)</v>
      </c>
      <c r="AI220" t="str">
        <f t="shared" si="20"/>
        <v>10+ yrs</v>
      </c>
      <c r="AJ220" t="str">
        <f t="shared" si="21"/>
        <v>Good</v>
      </c>
      <c r="AK220" t="str">
        <f t="shared" si="22"/>
        <v>Very Satisfied</v>
      </c>
      <c r="AL220">
        <f t="shared" si="23"/>
        <v>106380</v>
      </c>
    </row>
    <row r="221" spans="1:38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18"/>
        <v>46+</v>
      </c>
      <c r="AH221" t="str">
        <f t="shared" si="19"/>
        <v>Mid (3-6K)</v>
      </c>
      <c r="AI221" t="str">
        <f t="shared" si="20"/>
        <v>6-10 yrs</v>
      </c>
      <c r="AJ221" t="str">
        <f t="shared" si="21"/>
        <v>Good</v>
      </c>
      <c r="AK221" t="str">
        <f t="shared" si="22"/>
        <v>Very Dissatisfied</v>
      </c>
      <c r="AL221">
        <f t="shared" si="23"/>
        <v>71280</v>
      </c>
    </row>
    <row r="222" spans="1:38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18"/>
        <v>36-45</v>
      </c>
      <c r="AH222" t="str">
        <f t="shared" si="19"/>
        <v>Mid (3-6K)</v>
      </c>
      <c r="AI222" t="str">
        <f t="shared" si="20"/>
        <v>10+ yrs</v>
      </c>
      <c r="AJ222" t="str">
        <f t="shared" si="21"/>
        <v>Good</v>
      </c>
      <c r="AK222" t="str">
        <f t="shared" si="22"/>
        <v>Dissatisfied</v>
      </c>
      <c r="AL222">
        <f t="shared" si="23"/>
        <v>70968</v>
      </c>
    </row>
    <row r="223" spans="1:38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18"/>
        <v>26-35</v>
      </c>
      <c r="AH223" t="str">
        <f t="shared" si="19"/>
        <v>Low (0-3K)</v>
      </c>
      <c r="AI223" t="str">
        <f t="shared" si="20"/>
        <v>3-5 yrs</v>
      </c>
      <c r="AJ223" t="str">
        <f t="shared" si="21"/>
        <v>Excellent</v>
      </c>
      <c r="AK223" t="str">
        <f t="shared" si="22"/>
        <v>Dissatisfied</v>
      </c>
      <c r="AL223">
        <f t="shared" si="23"/>
        <v>31464</v>
      </c>
    </row>
    <row r="224" spans="1:38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18"/>
        <v>36-45</v>
      </c>
      <c r="AH224" t="str">
        <f t="shared" si="19"/>
        <v>Very High (10K+)</v>
      </c>
      <c r="AI224" t="str">
        <f t="shared" si="20"/>
        <v>6-10 yrs</v>
      </c>
      <c r="AJ224" t="str">
        <f t="shared" si="21"/>
        <v>Good</v>
      </c>
      <c r="AK224" t="str">
        <f t="shared" si="22"/>
        <v>Very Satisfied</v>
      </c>
      <c r="AL224">
        <f t="shared" si="23"/>
        <v>146220</v>
      </c>
    </row>
    <row r="225" spans="1:38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18"/>
        <v>36-45</v>
      </c>
      <c r="AH225" t="str">
        <f t="shared" si="19"/>
        <v>Very High (10K+)</v>
      </c>
      <c r="AI225" t="str">
        <f t="shared" si="20"/>
        <v>10+ yrs</v>
      </c>
      <c r="AJ225" t="str">
        <f t="shared" si="21"/>
        <v>Good</v>
      </c>
      <c r="AK225" t="str">
        <f t="shared" si="22"/>
        <v>Satisfied</v>
      </c>
      <c r="AL225">
        <f t="shared" si="23"/>
        <v>127308</v>
      </c>
    </row>
    <row r="226" spans="1:38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18"/>
        <v>26-35</v>
      </c>
      <c r="AH226" t="str">
        <f t="shared" si="19"/>
        <v>Mid (3-6K)</v>
      </c>
      <c r="AI226" t="str">
        <f t="shared" si="20"/>
        <v>3-5 yrs</v>
      </c>
      <c r="AJ226" t="str">
        <f t="shared" si="21"/>
        <v>Good</v>
      </c>
      <c r="AK226" t="str">
        <f t="shared" si="22"/>
        <v>Satisfied</v>
      </c>
      <c r="AL226">
        <f t="shared" si="23"/>
        <v>52140</v>
      </c>
    </row>
    <row r="227" spans="1:38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18"/>
        <v>46+</v>
      </c>
      <c r="AH227" t="str">
        <f t="shared" si="19"/>
        <v>Low (0-3K)</v>
      </c>
      <c r="AI227" t="str">
        <f t="shared" si="20"/>
        <v>0-2 yrs</v>
      </c>
      <c r="AJ227" t="str">
        <f t="shared" si="21"/>
        <v>Good</v>
      </c>
      <c r="AK227" t="str">
        <f t="shared" si="22"/>
        <v>Very Satisfied</v>
      </c>
      <c r="AL227">
        <f t="shared" si="23"/>
        <v>26124</v>
      </c>
    </row>
    <row r="228" spans="1:38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18"/>
        <v>36-45</v>
      </c>
      <c r="AH228" t="str">
        <f t="shared" si="19"/>
        <v>Low (0-3K)</v>
      </c>
      <c r="AI228" t="str">
        <f t="shared" si="20"/>
        <v>6-10 yrs</v>
      </c>
      <c r="AJ228" t="str">
        <f t="shared" si="21"/>
        <v>Good</v>
      </c>
      <c r="AK228" t="str">
        <f t="shared" si="22"/>
        <v>Very Satisfied</v>
      </c>
      <c r="AL228">
        <f t="shared" si="23"/>
        <v>33516</v>
      </c>
    </row>
    <row r="229" spans="1:38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18"/>
        <v>26-35</v>
      </c>
      <c r="AH229" t="str">
        <f t="shared" si="19"/>
        <v>High (6-10K)</v>
      </c>
      <c r="AI229" t="str">
        <f t="shared" si="20"/>
        <v>10+ yrs</v>
      </c>
      <c r="AJ229" t="str">
        <f t="shared" si="21"/>
        <v>Good</v>
      </c>
      <c r="AK229" t="str">
        <f t="shared" si="22"/>
        <v>Very Satisfied</v>
      </c>
      <c r="AL229">
        <f t="shared" si="23"/>
        <v>95016</v>
      </c>
    </row>
    <row r="230" spans="1:38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18"/>
        <v>26-35</v>
      </c>
      <c r="AH230" t="str">
        <f t="shared" si="19"/>
        <v>High (6-10K)</v>
      </c>
      <c r="AI230" t="str">
        <f t="shared" si="20"/>
        <v>6-10 yrs</v>
      </c>
      <c r="AJ230" t="str">
        <f t="shared" si="21"/>
        <v>Good</v>
      </c>
      <c r="AK230" t="str">
        <f t="shared" si="22"/>
        <v>Satisfied</v>
      </c>
      <c r="AL230">
        <f t="shared" si="23"/>
        <v>105468</v>
      </c>
    </row>
    <row r="231" spans="1:38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18"/>
        <v>26-35</v>
      </c>
      <c r="AH231" t="str">
        <f t="shared" si="19"/>
        <v>Low (0-3K)</v>
      </c>
      <c r="AI231" t="str">
        <f t="shared" si="20"/>
        <v>3-5 yrs</v>
      </c>
      <c r="AJ231" t="str">
        <f t="shared" si="21"/>
        <v>Good</v>
      </c>
      <c r="AK231" t="str">
        <f t="shared" si="22"/>
        <v>Very Satisfied</v>
      </c>
      <c r="AL231">
        <f t="shared" si="23"/>
        <v>28668</v>
      </c>
    </row>
    <row r="232" spans="1:38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18"/>
        <v>46+</v>
      </c>
      <c r="AH232" t="str">
        <f t="shared" si="19"/>
        <v>Mid (3-6K)</v>
      </c>
      <c r="AI232" t="str">
        <f t="shared" si="20"/>
        <v>0-2 yrs</v>
      </c>
      <c r="AJ232" t="str">
        <f t="shared" si="21"/>
        <v>Good</v>
      </c>
      <c r="AK232" t="str">
        <f t="shared" si="22"/>
        <v>Very Satisfied</v>
      </c>
      <c r="AL232">
        <f t="shared" si="23"/>
        <v>38544</v>
      </c>
    </row>
    <row r="233" spans="1:38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18"/>
        <v>36-45</v>
      </c>
      <c r="AH233" t="str">
        <f t="shared" si="19"/>
        <v>Very High (10K+)</v>
      </c>
      <c r="AI233" t="str">
        <f t="shared" si="20"/>
        <v>10+ yrs</v>
      </c>
      <c r="AJ233" t="str">
        <f t="shared" si="21"/>
        <v>Good</v>
      </c>
      <c r="AK233" t="str">
        <f t="shared" si="22"/>
        <v>Very Satisfied</v>
      </c>
      <c r="AL233">
        <f t="shared" si="23"/>
        <v>230784</v>
      </c>
    </row>
    <row r="234" spans="1:38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18"/>
        <v>46+</v>
      </c>
      <c r="AH234" t="str">
        <f t="shared" si="19"/>
        <v>Low (0-3K)</v>
      </c>
      <c r="AI234" t="str">
        <f t="shared" si="20"/>
        <v>0-2 yrs</v>
      </c>
      <c r="AJ234" t="str">
        <f t="shared" si="21"/>
        <v>Good</v>
      </c>
      <c r="AK234" t="str">
        <f t="shared" si="22"/>
        <v>Satisfied</v>
      </c>
      <c r="AL234">
        <f t="shared" si="23"/>
        <v>27204</v>
      </c>
    </row>
    <row r="235" spans="1:38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18"/>
        <v>46+</v>
      </c>
      <c r="AH235" t="str">
        <f t="shared" si="19"/>
        <v>Very High (10K+)</v>
      </c>
      <c r="AI235" t="str">
        <f t="shared" si="20"/>
        <v>6-10 yrs</v>
      </c>
      <c r="AJ235" t="str">
        <f t="shared" si="21"/>
        <v>Good</v>
      </c>
      <c r="AK235" t="str">
        <f t="shared" si="22"/>
        <v>Very Satisfied</v>
      </c>
      <c r="AL235">
        <f t="shared" si="23"/>
        <v>234204</v>
      </c>
    </row>
    <row r="236" spans="1:38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18"/>
        <v>26-35</v>
      </c>
      <c r="AH236" t="str">
        <f t="shared" si="19"/>
        <v>Low (0-3K)</v>
      </c>
      <c r="AI236" t="str">
        <f t="shared" si="20"/>
        <v>3-5 yrs</v>
      </c>
      <c r="AJ236" t="str">
        <f t="shared" si="21"/>
        <v>Good</v>
      </c>
      <c r="AK236" t="str">
        <f t="shared" si="22"/>
        <v>Very Satisfied</v>
      </c>
      <c r="AL236">
        <f t="shared" si="23"/>
        <v>29232</v>
      </c>
    </row>
    <row r="237" spans="1:38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18"/>
        <v>36-45</v>
      </c>
      <c r="AH237" t="str">
        <f t="shared" si="19"/>
        <v>Very High (10K+)</v>
      </c>
      <c r="AI237" t="str">
        <f t="shared" si="20"/>
        <v>10+ yrs</v>
      </c>
      <c r="AJ237" t="str">
        <f t="shared" si="21"/>
        <v>Excellent</v>
      </c>
      <c r="AK237" t="str">
        <f t="shared" si="22"/>
        <v>Very Satisfied</v>
      </c>
      <c r="AL237">
        <f t="shared" si="23"/>
        <v>192768</v>
      </c>
    </row>
    <row r="238" spans="1:38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18"/>
        <v>26-35</v>
      </c>
      <c r="AH238" t="str">
        <f t="shared" si="19"/>
        <v>Low (0-3K)</v>
      </c>
      <c r="AI238" t="str">
        <f t="shared" si="20"/>
        <v>6-10 yrs</v>
      </c>
      <c r="AJ238" t="str">
        <f t="shared" si="21"/>
        <v>Excellent</v>
      </c>
      <c r="AK238" t="str">
        <f t="shared" si="22"/>
        <v>Very Dissatisfied</v>
      </c>
      <c r="AL238">
        <f t="shared" si="23"/>
        <v>32484</v>
      </c>
    </row>
    <row r="239" spans="1:38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18"/>
        <v>46+</v>
      </c>
      <c r="AH239" t="str">
        <f t="shared" si="19"/>
        <v>Very High (10K+)</v>
      </c>
      <c r="AI239" t="str">
        <f t="shared" si="20"/>
        <v>10+ yrs</v>
      </c>
      <c r="AJ239" t="str">
        <f t="shared" si="21"/>
        <v>Good</v>
      </c>
      <c r="AK239" t="str">
        <f t="shared" si="22"/>
        <v>Satisfied</v>
      </c>
      <c r="AL239">
        <f t="shared" si="23"/>
        <v>228816</v>
      </c>
    </row>
    <row r="240" spans="1:38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18"/>
        <v>26-35</v>
      </c>
      <c r="AH240" t="str">
        <f t="shared" si="19"/>
        <v>Mid (3-6K)</v>
      </c>
      <c r="AI240" t="str">
        <f t="shared" si="20"/>
        <v>3-5 yrs</v>
      </c>
      <c r="AJ240" t="str">
        <f t="shared" si="21"/>
        <v>Good</v>
      </c>
      <c r="AK240" t="str">
        <f t="shared" si="22"/>
        <v>Dissatisfied</v>
      </c>
      <c r="AL240">
        <f t="shared" si="23"/>
        <v>47172</v>
      </c>
    </row>
    <row r="241" spans="1:38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18"/>
        <v>26-35</v>
      </c>
      <c r="AH241" t="str">
        <f t="shared" si="19"/>
        <v>Mid (3-6K)</v>
      </c>
      <c r="AI241" t="str">
        <f t="shared" si="20"/>
        <v>3-5 yrs</v>
      </c>
      <c r="AJ241" t="str">
        <f t="shared" si="21"/>
        <v>Good</v>
      </c>
      <c r="AK241" t="str">
        <f t="shared" si="22"/>
        <v>Satisfied</v>
      </c>
      <c r="AL241">
        <f t="shared" si="23"/>
        <v>44760</v>
      </c>
    </row>
    <row r="242" spans="1:38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18"/>
        <v>36-45</v>
      </c>
      <c r="AH242" t="str">
        <f t="shared" si="19"/>
        <v>Low (0-3K)</v>
      </c>
      <c r="AI242" t="str">
        <f t="shared" si="20"/>
        <v>3-5 yrs</v>
      </c>
      <c r="AJ242" t="str">
        <f t="shared" si="21"/>
        <v>Good</v>
      </c>
      <c r="AK242" t="str">
        <f t="shared" si="22"/>
        <v>Satisfied</v>
      </c>
      <c r="AL242">
        <f t="shared" si="23"/>
        <v>26784</v>
      </c>
    </row>
    <row r="243" spans="1:38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18"/>
        <v>26-35</v>
      </c>
      <c r="AH243" t="str">
        <f t="shared" si="19"/>
        <v>Mid (3-6K)</v>
      </c>
      <c r="AI243" t="str">
        <f t="shared" si="20"/>
        <v>3-5 yrs</v>
      </c>
      <c r="AJ243" t="str">
        <f t="shared" si="21"/>
        <v>Good</v>
      </c>
      <c r="AK243" t="str">
        <f t="shared" si="22"/>
        <v>Very Satisfied</v>
      </c>
      <c r="AL243">
        <f t="shared" si="23"/>
        <v>53580</v>
      </c>
    </row>
    <row r="244" spans="1:38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18"/>
        <v>36-45</v>
      </c>
      <c r="AH244" t="str">
        <f t="shared" si="19"/>
        <v>Mid (3-6K)</v>
      </c>
      <c r="AI244" t="str">
        <f t="shared" si="20"/>
        <v>0-2 yrs</v>
      </c>
      <c r="AJ244" t="str">
        <f t="shared" si="21"/>
        <v>Good</v>
      </c>
      <c r="AK244" t="str">
        <f t="shared" si="22"/>
        <v>Very Dissatisfied</v>
      </c>
      <c r="AL244">
        <f t="shared" si="23"/>
        <v>36864</v>
      </c>
    </row>
    <row r="245" spans="1:38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18"/>
        <v>36-45</v>
      </c>
      <c r="AH245" t="str">
        <f t="shared" si="19"/>
        <v>Mid (3-6K)</v>
      </c>
      <c r="AI245" t="str">
        <f t="shared" si="20"/>
        <v>6-10 yrs</v>
      </c>
      <c r="AJ245" t="str">
        <f t="shared" si="21"/>
        <v>Good</v>
      </c>
      <c r="AK245" t="str">
        <f t="shared" si="22"/>
        <v>Very Satisfied</v>
      </c>
      <c r="AL245">
        <f t="shared" si="23"/>
        <v>39828</v>
      </c>
    </row>
    <row r="246" spans="1:38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18"/>
        <v>36-45</v>
      </c>
      <c r="AH246" t="str">
        <f t="shared" si="19"/>
        <v>Very High (10K+)</v>
      </c>
      <c r="AI246" t="str">
        <f t="shared" si="20"/>
        <v>10+ yrs</v>
      </c>
      <c r="AJ246" t="str">
        <f t="shared" si="21"/>
        <v>Good</v>
      </c>
      <c r="AK246" t="str">
        <f t="shared" si="22"/>
        <v>Very Satisfied</v>
      </c>
      <c r="AL246">
        <f t="shared" si="23"/>
        <v>230424</v>
      </c>
    </row>
    <row r="247" spans="1:38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18"/>
        <v>26-35</v>
      </c>
      <c r="AH247" t="str">
        <f t="shared" si="19"/>
        <v>Very High (10K+)</v>
      </c>
      <c r="AI247" t="str">
        <f t="shared" si="20"/>
        <v>0-2 yrs</v>
      </c>
      <c r="AJ247" t="str">
        <f t="shared" si="21"/>
        <v>Good</v>
      </c>
      <c r="AK247" t="str">
        <f t="shared" si="22"/>
        <v>Satisfied</v>
      </c>
      <c r="AL247">
        <f t="shared" si="23"/>
        <v>164100</v>
      </c>
    </row>
    <row r="248" spans="1:38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18"/>
        <v>26-35</v>
      </c>
      <c r="AH248" t="str">
        <f t="shared" si="19"/>
        <v>Low (0-3K)</v>
      </c>
      <c r="AI248" t="str">
        <f t="shared" si="20"/>
        <v>0-2 yrs</v>
      </c>
      <c r="AJ248" t="str">
        <f t="shared" si="21"/>
        <v>Good</v>
      </c>
      <c r="AK248" t="str">
        <f t="shared" si="22"/>
        <v>Very Satisfied</v>
      </c>
      <c r="AL248">
        <f t="shared" si="23"/>
        <v>34932</v>
      </c>
    </row>
    <row r="249" spans="1:38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18"/>
        <v>26-35</v>
      </c>
      <c r="AH249" t="str">
        <f t="shared" si="19"/>
        <v>Mid (3-6K)</v>
      </c>
      <c r="AI249" t="str">
        <f t="shared" si="20"/>
        <v>10+ yrs</v>
      </c>
      <c r="AJ249" t="str">
        <f t="shared" si="21"/>
        <v>Good</v>
      </c>
      <c r="AK249" t="str">
        <f t="shared" si="22"/>
        <v>Very Dissatisfied</v>
      </c>
      <c r="AL249">
        <f t="shared" si="23"/>
        <v>71484</v>
      </c>
    </row>
    <row r="250" spans="1:38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18"/>
        <v>36-45</v>
      </c>
      <c r="AH250" t="str">
        <f t="shared" si="19"/>
        <v>Mid (3-6K)</v>
      </c>
      <c r="AI250" t="str">
        <f t="shared" si="20"/>
        <v>3-5 yrs</v>
      </c>
      <c r="AJ250" t="str">
        <f t="shared" si="21"/>
        <v>Good</v>
      </c>
      <c r="AK250" t="str">
        <f t="shared" si="22"/>
        <v>Very Dissatisfied</v>
      </c>
      <c r="AL250">
        <f t="shared" si="23"/>
        <v>47040</v>
      </c>
    </row>
    <row r="251" spans="1:38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18"/>
        <v>36-45</v>
      </c>
      <c r="AH251" t="str">
        <f t="shared" si="19"/>
        <v>High (6-10K)</v>
      </c>
      <c r="AI251" t="str">
        <f t="shared" si="20"/>
        <v>3-5 yrs</v>
      </c>
      <c r="AJ251" t="str">
        <f t="shared" si="21"/>
        <v>Good</v>
      </c>
      <c r="AK251" t="str">
        <f t="shared" si="22"/>
        <v>Satisfied</v>
      </c>
      <c r="AL251">
        <f t="shared" si="23"/>
        <v>77208</v>
      </c>
    </row>
    <row r="252" spans="1:38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18"/>
        <v>36-45</v>
      </c>
      <c r="AH252" t="str">
        <f t="shared" si="19"/>
        <v>Very High (10K+)</v>
      </c>
      <c r="AI252" t="str">
        <f t="shared" si="20"/>
        <v>0-2 yrs</v>
      </c>
      <c r="AJ252" t="str">
        <f t="shared" si="21"/>
        <v>Good</v>
      </c>
      <c r="AK252" t="str">
        <f t="shared" si="22"/>
        <v>Satisfied</v>
      </c>
      <c r="AL252">
        <f t="shared" si="23"/>
        <v>120576</v>
      </c>
    </row>
    <row r="253" spans="1:38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18"/>
        <v>36-45</v>
      </c>
      <c r="AH253" t="str">
        <f t="shared" si="19"/>
        <v>Very High (10K+)</v>
      </c>
      <c r="AI253" t="str">
        <f t="shared" si="20"/>
        <v>10+ yrs</v>
      </c>
      <c r="AJ253" t="str">
        <f t="shared" si="21"/>
        <v>Excellent</v>
      </c>
      <c r="AK253" t="str">
        <f t="shared" si="22"/>
        <v>Satisfied</v>
      </c>
      <c r="AL253">
        <f t="shared" si="23"/>
        <v>131256</v>
      </c>
    </row>
    <row r="254" spans="1:38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18"/>
        <v>26-35</v>
      </c>
      <c r="AH254" t="str">
        <f t="shared" si="19"/>
        <v>Low (0-3K)</v>
      </c>
      <c r="AI254" t="str">
        <f t="shared" si="20"/>
        <v>6-10 yrs</v>
      </c>
      <c r="AJ254" t="str">
        <f t="shared" si="21"/>
        <v>Good</v>
      </c>
      <c r="AK254" t="str">
        <f t="shared" si="22"/>
        <v>Very Satisfied</v>
      </c>
      <c r="AL254">
        <f t="shared" si="23"/>
        <v>28080</v>
      </c>
    </row>
    <row r="255" spans="1:38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18"/>
        <v>36-45</v>
      </c>
      <c r="AH255" t="str">
        <f t="shared" si="19"/>
        <v>High (6-10K)</v>
      </c>
      <c r="AI255" t="str">
        <f t="shared" si="20"/>
        <v>3-5 yrs</v>
      </c>
      <c r="AJ255" t="str">
        <f t="shared" si="21"/>
        <v>Good</v>
      </c>
      <c r="AK255" t="str">
        <f t="shared" si="22"/>
        <v>Very Dissatisfied</v>
      </c>
      <c r="AL255">
        <f t="shared" si="23"/>
        <v>78540</v>
      </c>
    </row>
    <row r="256" spans="1:38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18"/>
        <v>26-35</v>
      </c>
      <c r="AH256" t="str">
        <f t="shared" si="19"/>
        <v>High (6-10K)</v>
      </c>
      <c r="AI256" t="str">
        <f t="shared" si="20"/>
        <v>3-5 yrs</v>
      </c>
      <c r="AJ256" t="str">
        <f t="shared" si="21"/>
        <v>Good</v>
      </c>
      <c r="AK256" t="str">
        <f t="shared" si="22"/>
        <v>Very Satisfied</v>
      </c>
      <c r="AL256">
        <f t="shared" si="23"/>
        <v>83172</v>
      </c>
    </row>
    <row r="257" spans="1:38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18"/>
        <v>20-25</v>
      </c>
      <c r="AH257" t="str">
        <f t="shared" si="19"/>
        <v>Mid (3-6K)</v>
      </c>
      <c r="AI257" t="str">
        <f t="shared" si="20"/>
        <v>3-5 yrs</v>
      </c>
      <c r="AJ257" t="str">
        <f t="shared" si="21"/>
        <v>Good</v>
      </c>
      <c r="AK257" t="str">
        <f t="shared" si="22"/>
        <v>Satisfied</v>
      </c>
      <c r="AL257">
        <f t="shared" si="23"/>
        <v>58776</v>
      </c>
    </row>
    <row r="258" spans="1:38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si="18"/>
        <v>36-45</v>
      </c>
      <c r="AH258" t="str">
        <f t="shared" si="19"/>
        <v>Low (0-3K)</v>
      </c>
      <c r="AI258" t="str">
        <f t="shared" si="20"/>
        <v>6-10 yrs</v>
      </c>
      <c r="AJ258" t="str">
        <f t="shared" si="21"/>
        <v>Good</v>
      </c>
      <c r="AK258" t="str">
        <f t="shared" si="22"/>
        <v>Very Dissatisfied</v>
      </c>
      <c r="AL258">
        <f t="shared" si="23"/>
        <v>31116</v>
      </c>
    </row>
    <row r="259" spans="1:38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ref="AG259:AG322" si="24">IF(A259&lt;=25,"20-25",IF(A259&lt;=35,"26-35",IF(A259&lt;=45,"36-45","46+")))</f>
        <v>36-45</v>
      </c>
      <c r="AH259" t="str">
        <f t="shared" ref="AH259:AH322" si="25">IF(R259&lt;=3000,"Low (0-3K)",IF(R259&lt;=6000,"Mid (3-6K)",IF(R259&lt;=10000,"High (6-10K)","Very High (10K+)")))</f>
        <v>Very High (10K+)</v>
      </c>
      <c r="AI259" t="str">
        <f t="shared" ref="AI259:AI322" si="26">IF(AC259&lt;=2,"0-2 yrs",IF(AC259&lt;=5,"3-5 yrs",IF(AC259&lt;=10,"6-10 yrs","10+ yrs")))</f>
        <v>10+ yrs</v>
      </c>
      <c r="AJ259" t="str">
        <f t="shared" ref="AJ259:AJ322" si="27">IF(W259=4,"Excellent",IF(W259=3,"Good",IF(W259=2,"Needs Improvement","Poor")))</f>
        <v>Good</v>
      </c>
      <c r="AK259" t="str">
        <f t="shared" ref="AK259:AK322" si="28">IF(P259=4,"Very Satisfied",IF(P259=3,"Satisfied",IF(P259=2,"Dissatisfied","Very Dissatisfied")))</f>
        <v>Satisfied</v>
      </c>
      <c r="AL259">
        <f t="shared" ref="AL259:AL322" si="29">R259*12</f>
        <v>233232</v>
      </c>
    </row>
    <row r="260" spans="1:38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24"/>
        <v>46+</v>
      </c>
      <c r="AH260" t="str">
        <f t="shared" si="25"/>
        <v>Low (0-3K)</v>
      </c>
      <c r="AI260" t="str">
        <f t="shared" si="26"/>
        <v>0-2 yrs</v>
      </c>
      <c r="AJ260" t="str">
        <f t="shared" si="27"/>
        <v>Good</v>
      </c>
      <c r="AK260" t="str">
        <f t="shared" si="28"/>
        <v>Very Satisfied</v>
      </c>
      <c r="AL260">
        <f t="shared" si="29"/>
        <v>32676</v>
      </c>
    </row>
    <row r="261" spans="1:38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24"/>
        <v>26-35</v>
      </c>
      <c r="AH261" t="str">
        <f t="shared" si="25"/>
        <v>Mid (3-6K)</v>
      </c>
      <c r="AI261" t="str">
        <f t="shared" si="26"/>
        <v>3-5 yrs</v>
      </c>
      <c r="AJ261" t="str">
        <f t="shared" si="27"/>
        <v>Good</v>
      </c>
      <c r="AK261" t="str">
        <f t="shared" si="28"/>
        <v>Dissatisfied</v>
      </c>
      <c r="AL261">
        <f t="shared" si="29"/>
        <v>41748</v>
      </c>
    </row>
    <row r="262" spans="1:38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24"/>
        <v>26-35</v>
      </c>
      <c r="AH262" t="str">
        <f t="shared" si="25"/>
        <v>Low (0-3K)</v>
      </c>
      <c r="AI262" t="str">
        <f t="shared" si="26"/>
        <v>3-5 yrs</v>
      </c>
      <c r="AJ262" t="str">
        <f t="shared" si="27"/>
        <v>Excellent</v>
      </c>
      <c r="AK262" t="str">
        <f t="shared" si="28"/>
        <v>Dissatisfied</v>
      </c>
      <c r="AL262">
        <f t="shared" si="29"/>
        <v>33528</v>
      </c>
    </row>
    <row r="263" spans="1:38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24"/>
        <v>36-45</v>
      </c>
      <c r="AH263" t="str">
        <f t="shared" si="25"/>
        <v>Mid (3-6K)</v>
      </c>
      <c r="AI263" t="str">
        <f t="shared" si="26"/>
        <v>6-10 yrs</v>
      </c>
      <c r="AJ263" t="str">
        <f t="shared" si="27"/>
        <v>Good</v>
      </c>
      <c r="AK263" t="str">
        <f t="shared" si="28"/>
        <v>Very Satisfied</v>
      </c>
      <c r="AL263">
        <f t="shared" si="29"/>
        <v>62988</v>
      </c>
    </row>
    <row r="264" spans="1:38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24"/>
        <v>26-35</v>
      </c>
      <c r="AH264" t="str">
        <f t="shared" si="25"/>
        <v>Low (0-3K)</v>
      </c>
      <c r="AI264" t="str">
        <f t="shared" si="26"/>
        <v>6-10 yrs</v>
      </c>
      <c r="AJ264" t="str">
        <f t="shared" si="27"/>
        <v>Good</v>
      </c>
      <c r="AK264" t="str">
        <f t="shared" si="28"/>
        <v>Very Dissatisfied</v>
      </c>
      <c r="AL264">
        <f t="shared" si="29"/>
        <v>26112</v>
      </c>
    </row>
    <row r="265" spans="1:38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24"/>
        <v>46+</v>
      </c>
      <c r="AH265" t="str">
        <f t="shared" si="25"/>
        <v>Very High (10K+)</v>
      </c>
      <c r="AI265" t="str">
        <f t="shared" si="26"/>
        <v>6-10 yrs</v>
      </c>
      <c r="AJ265" t="str">
        <f t="shared" si="27"/>
        <v>Good</v>
      </c>
      <c r="AK265" t="str">
        <f t="shared" si="28"/>
        <v>Dissatisfied</v>
      </c>
      <c r="AL265">
        <f t="shared" si="29"/>
        <v>202464</v>
      </c>
    </row>
    <row r="266" spans="1:38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24"/>
        <v>26-35</v>
      </c>
      <c r="AH266" t="str">
        <f t="shared" si="25"/>
        <v>Mid (3-6K)</v>
      </c>
      <c r="AI266" t="str">
        <f t="shared" si="26"/>
        <v>0-2 yrs</v>
      </c>
      <c r="AJ266" t="str">
        <f t="shared" si="27"/>
        <v>Good</v>
      </c>
      <c r="AK266" t="str">
        <f t="shared" si="28"/>
        <v>Satisfied</v>
      </c>
      <c r="AL266">
        <f t="shared" si="29"/>
        <v>41820</v>
      </c>
    </row>
    <row r="267" spans="1:38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24"/>
        <v>26-35</v>
      </c>
      <c r="AH267" t="str">
        <f t="shared" si="25"/>
        <v>High (6-10K)</v>
      </c>
      <c r="AI267" t="str">
        <f t="shared" si="26"/>
        <v>0-2 yrs</v>
      </c>
      <c r="AJ267" t="str">
        <f t="shared" si="27"/>
        <v>Good</v>
      </c>
      <c r="AK267" t="str">
        <f t="shared" si="28"/>
        <v>Dissatisfied</v>
      </c>
      <c r="AL267">
        <f t="shared" si="29"/>
        <v>79728</v>
      </c>
    </row>
    <row r="268" spans="1:38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24"/>
        <v>26-35</v>
      </c>
      <c r="AH268" t="str">
        <f t="shared" si="25"/>
        <v>Mid (3-6K)</v>
      </c>
      <c r="AI268" t="str">
        <f t="shared" si="26"/>
        <v>6-10 yrs</v>
      </c>
      <c r="AJ268" t="str">
        <f t="shared" si="27"/>
        <v>Excellent</v>
      </c>
      <c r="AK268" t="str">
        <f t="shared" si="28"/>
        <v>Very Satisfied</v>
      </c>
      <c r="AL268">
        <f t="shared" si="29"/>
        <v>66984</v>
      </c>
    </row>
    <row r="269" spans="1:38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24"/>
        <v>20-25</v>
      </c>
      <c r="AH269" t="str">
        <f t="shared" si="25"/>
        <v>Mid (3-6K)</v>
      </c>
      <c r="AI269" t="str">
        <f t="shared" si="26"/>
        <v>6-10 yrs</v>
      </c>
      <c r="AJ269" t="str">
        <f t="shared" si="27"/>
        <v>Good</v>
      </c>
      <c r="AK269" t="str">
        <f t="shared" si="28"/>
        <v>Very Dissatisfied</v>
      </c>
      <c r="AL269">
        <f t="shared" si="29"/>
        <v>48000</v>
      </c>
    </row>
    <row r="270" spans="1:38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24"/>
        <v>36-45</v>
      </c>
      <c r="AH270" t="str">
        <f t="shared" si="25"/>
        <v>Very High (10K+)</v>
      </c>
      <c r="AI270" t="str">
        <f t="shared" si="26"/>
        <v>10+ yrs</v>
      </c>
      <c r="AJ270" t="str">
        <f t="shared" si="27"/>
        <v>Good</v>
      </c>
      <c r="AK270" t="str">
        <f t="shared" si="28"/>
        <v>Very Satisfied</v>
      </c>
      <c r="AL270">
        <f t="shared" si="29"/>
        <v>161952</v>
      </c>
    </row>
    <row r="271" spans="1:38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24"/>
        <v>36-45</v>
      </c>
      <c r="AH271" t="str">
        <f t="shared" si="25"/>
        <v>Mid (3-6K)</v>
      </c>
      <c r="AI271" t="str">
        <f t="shared" si="26"/>
        <v>10+ yrs</v>
      </c>
      <c r="AJ271" t="str">
        <f t="shared" si="27"/>
        <v>Good</v>
      </c>
      <c r="AK271" t="str">
        <f t="shared" si="28"/>
        <v>Very Satisfied</v>
      </c>
      <c r="AL271">
        <f t="shared" si="29"/>
        <v>38520</v>
      </c>
    </row>
    <row r="272" spans="1:38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24"/>
        <v>46+</v>
      </c>
      <c r="AH272" t="str">
        <f t="shared" si="25"/>
        <v>Very High (10K+)</v>
      </c>
      <c r="AI272" t="str">
        <f t="shared" si="26"/>
        <v>10+ yrs</v>
      </c>
      <c r="AJ272" t="str">
        <f t="shared" si="27"/>
        <v>Good</v>
      </c>
      <c r="AK272" t="str">
        <f t="shared" si="28"/>
        <v>Very Dissatisfied</v>
      </c>
      <c r="AL272">
        <f t="shared" si="29"/>
        <v>228540</v>
      </c>
    </row>
    <row r="273" spans="1:38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24"/>
        <v>46+</v>
      </c>
      <c r="AH273" t="str">
        <f t="shared" si="25"/>
        <v>Very High (10K+)</v>
      </c>
      <c r="AI273" t="str">
        <f t="shared" si="26"/>
        <v>6-10 yrs</v>
      </c>
      <c r="AJ273" t="str">
        <f t="shared" si="27"/>
        <v>Good</v>
      </c>
      <c r="AK273" t="str">
        <f t="shared" si="28"/>
        <v>Dissatisfied</v>
      </c>
      <c r="AL273">
        <f t="shared" si="29"/>
        <v>142188</v>
      </c>
    </row>
    <row r="274" spans="1:38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24"/>
        <v>26-35</v>
      </c>
      <c r="AH274" t="str">
        <f t="shared" si="25"/>
        <v>Low (0-3K)</v>
      </c>
      <c r="AI274" t="str">
        <f t="shared" si="26"/>
        <v>3-5 yrs</v>
      </c>
      <c r="AJ274" t="str">
        <f t="shared" si="27"/>
        <v>Excellent</v>
      </c>
      <c r="AK274" t="str">
        <f t="shared" si="28"/>
        <v>Very Satisfied</v>
      </c>
      <c r="AL274">
        <f t="shared" si="29"/>
        <v>24840</v>
      </c>
    </row>
    <row r="275" spans="1:38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24"/>
        <v>36-45</v>
      </c>
      <c r="AH275" t="str">
        <f t="shared" si="25"/>
        <v>High (6-10K)</v>
      </c>
      <c r="AI275" t="str">
        <f t="shared" si="26"/>
        <v>3-5 yrs</v>
      </c>
      <c r="AJ275" t="str">
        <f t="shared" si="27"/>
        <v>Good</v>
      </c>
      <c r="AK275" t="str">
        <f t="shared" si="28"/>
        <v>Very Satisfied</v>
      </c>
      <c r="AL275">
        <f t="shared" si="29"/>
        <v>78024</v>
      </c>
    </row>
    <row r="276" spans="1:38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24"/>
        <v>20-25</v>
      </c>
      <c r="AH276" t="str">
        <f t="shared" si="25"/>
        <v>Mid (3-6K)</v>
      </c>
      <c r="AI276" t="str">
        <f t="shared" si="26"/>
        <v>3-5 yrs</v>
      </c>
      <c r="AJ276" t="str">
        <f t="shared" si="27"/>
        <v>Good</v>
      </c>
      <c r="AK276" t="str">
        <f t="shared" si="28"/>
        <v>Satisfied</v>
      </c>
      <c r="AL276">
        <f t="shared" si="29"/>
        <v>38760</v>
      </c>
    </row>
    <row r="277" spans="1:38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24"/>
        <v>36-45</v>
      </c>
      <c r="AH277" t="str">
        <f t="shared" si="25"/>
        <v>Very High (10K+)</v>
      </c>
      <c r="AI277" t="str">
        <f t="shared" si="26"/>
        <v>3-5 yrs</v>
      </c>
      <c r="AJ277" t="str">
        <f t="shared" si="27"/>
        <v>Good</v>
      </c>
      <c r="AK277" t="str">
        <f t="shared" si="28"/>
        <v>Very Satisfied</v>
      </c>
      <c r="AL277">
        <f t="shared" si="29"/>
        <v>163236</v>
      </c>
    </row>
    <row r="278" spans="1:38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24"/>
        <v>26-35</v>
      </c>
      <c r="AH278" t="str">
        <f t="shared" si="25"/>
        <v>Very High (10K+)</v>
      </c>
      <c r="AI278" t="str">
        <f t="shared" si="26"/>
        <v>6-10 yrs</v>
      </c>
      <c r="AJ278" t="str">
        <f t="shared" si="27"/>
        <v>Good</v>
      </c>
      <c r="AK278" t="str">
        <f t="shared" si="28"/>
        <v>Dissatisfied</v>
      </c>
      <c r="AL278">
        <f t="shared" si="29"/>
        <v>143952</v>
      </c>
    </row>
    <row r="279" spans="1:38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24"/>
        <v>36-45</v>
      </c>
      <c r="AH279" t="str">
        <f t="shared" si="25"/>
        <v>Mid (3-6K)</v>
      </c>
      <c r="AI279" t="str">
        <f t="shared" si="26"/>
        <v>6-10 yrs</v>
      </c>
      <c r="AJ279" t="str">
        <f t="shared" si="27"/>
        <v>Excellent</v>
      </c>
      <c r="AK279" t="str">
        <f t="shared" si="28"/>
        <v>Very Dissatisfied</v>
      </c>
      <c r="AL279">
        <f t="shared" si="29"/>
        <v>67260</v>
      </c>
    </row>
    <row r="280" spans="1:38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24"/>
        <v>26-35</v>
      </c>
      <c r="AH280" t="str">
        <f t="shared" si="25"/>
        <v>High (6-10K)</v>
      </c>
      <c r="AI280" t="str">
        <f t="shared" si="26"/>
        <v>6-10 yrs</v>
      </c>
      <c r="AJ280" t="str">
        <f t="shared" si="27"/>
        <v>Excellent</v>
      </c>
      <c r="AK280" t="str">
        <f t="shared" si="28"/>
        <v>Dissatisfied</v>
      </c>
      <c r="AL280">
        <f t="shared" si="29"/>
        <v>76764</v>
      </c>
    </row>
    <row r="281" spans="1:38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24"/>
        <v>46+</v>
      </c>
      <c r="AH281" t="str">
        <f t="shared" si="25"/>
        <v>Very High (10K+)</v>
      </c>
      <c r="AI281" t="str">
        <f t="shared" si="26"/>
        <v>6-10 yrs</v>
      </c>
      <c r="AJ281" t="str">
        <f t="shared" si="27"/>
        <v>Good</v>
      </c>
      <c r="AK281" t="str">
        <f t="shared" si="28"/>
        <v>Dissatisfied</v>
      </c>
      <c r="AL281">
        <f t="shared" si="29"/>
        <v>229728</v>
      </c>
    </row>
    <row r="282" spans="1:38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24"/>
        <v>46+</v>
      </c>
      <c r="AH282" t="str">
        <f t="shared" si="25"/>
        <v>Very High (10K+)</v>
      </c>
      <c r="AI282" t="str">
        <f t="shared" si="26"/>
        <v>3-5 yrs</v>
      </c>
      <c r="AJ282" t="str">
        <f t="shared" si="27"/>
        <v>Good</v>
      </c>
      <c r="AK282" t="str">
        <f t="shared" si="28"/>
        <v>Satisfied</v>
      </c>
      <c r="AL282">
        <f t="shared" si="29"/>
        <v>211008</v>
      </c>
    </row>
    <row r="283" spans="1:38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24"/>
        <v>36-45</v>
      </c>
      <c r="AH283" t="str">
        <f t="shared" si="25"/>
        <v>Mid (3-6K)</v>
      </c>
      <c r="AI283" t="str">
        <f t="shared" si="26"/>
        <v>10+ yrs</v>
      </c>
      <c r="AJ283" t="str">
        <f t="shared" si="27"/>
        <v>Excellent</v>
      </c>
      <c r="AK283" t="str">
        <f t="shared" si="28"/>
        <v>Satisfied</v>
      </c>
      <c r="AL283">
        <f t="shared" si="29"/>
        <v>58884</v>
      </c>
    </row>
    <row r="284" spans="1:38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24"/>
        <v>26-35</v>
      </c>
      <c r="AH284" t="str">
        <f t="shared" si="25"/>
        <v>Mid (3-6K)</v>
      </c>
      <c r="AI284" t="str">
        <f t="shared" si="26"/>
        <v>6-10 yrs</v>
      </c>
      <c r="AJ284" t="str">
        <f t="shared" si="27"/>
        <v>Good</v>
      </c>
      <c r="AK284" t="str">
        <f t="shared" si="28"/>
        <v>Very Satisfied</v>
      </c>
      <c r="AL284">
        <f t="shared" si="29"/>
        <v>54648</v>
      </c>
    </row>
    <row r="285" spans="1:38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24"/>
        <v>46+</v>
      </c>
      <c r="AH285" t="str">
        <f t="shared" si="25"/>
        <v>Mid (3-6K)</v>
      </c>
      <c r="AI285" t="str">
        <f t="shared" si="26"/>
        <v>6-10 yrs</v>
      </c>
      <c r="AJ285" t="str">
        <f t="shared" si="27"/>
        <v>Good</v>
      </c>
      <c r="AK285" t="str">
        <f t="shared" si="28"/>
        <v>Very Satisfied</v>
      </c>
      <c r="AL285">
        <f t="shared" si="29"/>
        <v>64980</v>
      </c>
    </row>
    <row r="286" spans="1:38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24"/>
        <v>26-35</v>
      </c>
      <c r="AH286" t="str">
        <f t="shared" si="25"/>
        <v>Mid (3-6K)</v>
      </c>
      <c r="AI286" t="str">
        <f t="shared" si="26"/>
        <v>3-5 yrs</v>
      </c>
      <c r="AJ286" t="str">
        <f t="shared" si="27"/>
        <v>Good</v>
      </c>
      <c r="AK286" t="str">
        <f t="shared" si="28"/>
        <v>Very Dissatisfied</v>
      </c>
      <c r="AL286">
        <f t="shared" si="29"/>
        <v>56892</v>
      </c>
    </row>
    <row r="287" spans="1:38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24"/>
        <v>36-45</v>
      </c>
      <c r="AH287" t="str">
        <f t="shared" si="25"/>
        <v>Low (0-3K)</v>
      </c>
      <c r="AI287" t="str">
        <f t="shared" si="26"/>
        <v>10+ yrs</v>
      </c>
      <c r="AJ287" t="str">
        <f t="shared" si="27"/>
        <v>Good</v>
      </c>
      <c r="AK287" t="str">
        <f t="shared" si="28"/>
        <v>Very Satisfied</v>
      </c>
      <c r="AL287">
        <f t="shared" si="29"/>
        <v>25380</v>
      </c>
    </row>
    <row r="288" spans="1:38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24"/>
        <v>36-45</v>
      </c>
      <c r="AH288" t="str">
        <f t="shared" si="25"/>
        <v>Mid (3-6K)</v>
      </c>
      <c r="AI288" t="str">
        <f t="shared" si="26"/>
        <v>0-2 yrs</v>
      </c>
      <c r="AJ288" t="str">
        <f t="shared" si="27"/>
        <v>Excellent</v>
      </c>
      <c r="AK288" t="str">
        <f t="shared" si="28"/>
        <v>Satisfied</v>
      </c>
      <c r="AL288">
        <f t="shared" si="29"/>
        <v>37932</v>
      </c>
    </row>
    <row r="289" spans="1:38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24"/>
        <v>36-45</v>
      </c>
      <c r="AH289" t="str">
        <f t="shared" si="25"/>
        <v>Mid (3-6K)</v>
      </c>
      <c r="AI289" t="str">
        <f t="shared" si="26"/>
        <v>0-2 yrs</v>
      </c>
      <c r="AJ289" t="str">
        <f t="shared" si="27"/>
        <v>Good</v>
      </c>
      <c r="AK289" t="str">
        <f t="shared" si="28"/>
        <v>Very Satisfied</v>
      </c>
      <c r="AL289">
        <f t="shared" si="29"/>
        <v>68940</v>
      </c>
    </row>
    <row r="290" spans="1:38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24"/>
        <v>26-35</v>
      </c>
      <c r="AH290" t="str">
        <f t="shared" si="25"/>
        <v>Low (0-3K)</v>
      </c>
      <c r="AI290" t="str">
        <f t="shared" si="26"/>
        <v>3-5 yrs</v>
      </c>
      <c r="AJ290" t="str">
        <f t="shared" si="27"/>
        <v>Good</v>
      </c>
      <c r="AK290" t="str">
        <f t="shared" si="28"/>
        <v>Dissatisfied</v>
      </c>
      <c r="AL290">
        <f t="shared" si="29"/>
        <v>28476</v>
      </c>
    </row>
    <row r="291" spans="1:38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24"/>
        <v>26-35</v>
      </c>
      <c r="AH291" t="str">
        <f t="shared" si="25"/>
        <v>Mid (3-6K)</v>
      </c>
      <c r="AI291" t="str">
        <f t="shared" si="26"/>
        <v>3-5 yrs</v>
      </c>
      <c r="AJ291" t="str">
        <f t="shared" si="27"/>
        <v>Excellent</v>
      </c>
      <c r="AK291" t="str">
        <f t="shared" si="28"/>
        <v>Very Satisfied</v>
      </c>
      <c r="AL291">
        <f t="shared" si="29"/>
        <v>39720</v>
      </c>
    </row>
    <row r="292" spans="1:38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24"/>
        <v>46+</v>
      </c>
      <c r="AH292" t="str">
        <f t="shared" si="25"/>
        <v>Very High (10K+)</v>
      </c>
      <c r="AI292" t="str">
        <f t="shared" si="26"/>
        <v>3-5 yrs</v>
      </c>
      <c r="AJ292" t="str">
        <f t="shared" si="27"/>
        <v>Good</v>
      </c>
      <c r="AK292" t="str">
        <f t="shared" si="28"/>
        <v>Very Dissatisfied</v>
      </c>
      <c r="AL292">
        <f t="shared" si="29"/>
        <v>223980</v>
      </c>
    </row>
    <row r="293" spans="1:38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24"/>
        <v>36-45</v>
      </c>
      <c r="AH293" t="str">
        <f t="shared" si="25"/>
        <v>Mid (3-6K)</v>
      </c>
      <c r="AI293" t="str">
        <f t="shared" si="26"/>
        <v>6-10 yrs</v>
      </c>
      <c r="AJ293" t="str">
        <f t="shared" si="27"/>
        <v>Good</v>
      </c>
      <c r="AK293" t="str">
        <f t="shared" si="28"/>
        <v>Dissatisfied</v>
      </c>
      <c r="AL293">
        <f t="shared" si="29"/>
        <v>53820</v>
      </c>
    </row>
    <row r="294" spans="1:38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24"/>
        <v>26-35</v>
      </c>
      <c r="AH294" t="str">
        <f t="shared" si="25"/>
        <v>Low (0-3K)</v>
      </c>
      <c r="AI294" t="str">
        <f t="shared" si="26"/>
        <v>0-2 yrs</v>
      </c>
      <c r="AJ294" t="str">
        <f t="shared" si="27"/>
        <v>Good</v>
      </c>
      <c r="AK294" t="str">
        <f t="shared" si="28"/>
        <v>Dissatisfied</v>
      </c>
      <c r="AL294">
        <f t="shared" si="29"/>
        <v>33468</v>
      </c>
    </row>
    <row r="295" spans="1:38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24"/>
        <v>26-35</v>
      </c>
      <c r="AH295" t="str">
        <f t="shared" si="25"/>
        <v>Mid (3-6K)</v>
      </c>
      <c r="AI295" t="str">
        <f t="shared" si="26"/>
        <v>6-10 yrs</v>
      </c>
      <c r="AJ295" t="str">
        <f t="shared" si="27"/>
        <v>Good</v>
      </c>
      <c r="AK295" t="str">
        <f t="shared" si="28"/>
        <v>Very Satisfied</v>
      </c>
      <c r="AL295">
        <f t="shared" si="29"/>
        <v>69936</v>
      </c>
    </row>
    <row r="296" spans="1:38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24"/>
        <v>36-45</v>
      </c>
      <c r="AH296" t="str">
        <f t="shared" si="25"/>
        <v>Low (0-3K)</v>
      </c>
      <c r="AI296" t="str">
        <f t="shared" si="26"/>
        <v>3-5 yrs</v>
      </c>
      <c r="AJ296" t="str">
        <f t="shared" si="27"/>
        <v>Good</v>
      </c>
      <c r="AK296" t="str">
        <f t="shared" si="28"/>
        <v>Very Satisfied</v>
      </c>
      <c r="AL296">
        <f t="shared" si="29"/>
        <v>27912</v>
      </c>
    </row>
    <row r="297" spans="1:38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24"/>
        <v>36-45</v>
      </c>
      <c r="AH297" t="str">
        <f t="shared" si="25"/>
        <v>Very High (10K+)</v>
      </c>
      <c r="AI297" t="str">
        <f t="shared" si="26"/>
        <v>10+ yrs</v>
      </c>
      <c r="AJ297" t="str">
        <f t="shared" si="27"/>
        <v>Good</v>
      </c>
      <c r="AK297" t="str">
        <f t="shared" si="28"/>
        <v>Dissatisfied</v>
      </c>
      <c r="AL297">
        <f t="shared" si="29"/>
        <v>162300</v>
      </c>
    </row>
    <row r="298" spans="1:38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24"/>
        <v>20-25</v>
      </c>
      <c r="AH298" t="str">
        <f t="shared" si="25"/>
        <v>Low (0-3K)</v>
      </c>
      <c r="AI298" t="str">
        <f t="shared" si="26"/>
        <v>0-2 yrs</v>
      </c>
      <c r="AJ298" t="str">
        <f t="shared" si="27"/>
        <v>Good</v>
      </c>
      <c r="AK298" t="str">
        <f t="shared" si="28"/>
        <v>Satisfied</v>
      </c>
      <c r="AL298">
        <f t="shared" si="29"/>
        <v>17040</v>
      </c>
    </row>
    <row r="299" spans="1:38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24"/>
        <v>26-35</v>
      </c>
      <c r="AH299" t="str">
        <f t="shared" si="25"/>
        <v>High (6-10K)</v>
      </c>
      <c r="AI299" t="str">
        <f t="shared" si="26"/>
        <v>10+ yrs</v>
      </c>
      <c r="AJ299" t="str">
        <f t="shared" si="27"/>
        <v>Good</v>
      </c>
      <c r="AK299" t="str">
        <f t="shared" si="28"/>
        <v>Dissatisfied</v>
      </c>
      <c r="AL299">
        <f t="shared" si="29"/>
        <v>96240</v>
      </c>
    </row>
    <row r="300" spans="1:38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24"/>
        <v>36-45</v>
      </c>
      <c r="AH300" t="str">
        <f t="shared" si="25"/>
        <v>Mid (3-6K)</v>
      </c>
      <c r="AI300" t="str">
        <f t="shared" si="26"/>
        <v>0-2 yrs</v>
      </c>
      <c r="AJ300" t="str">
        <f t="shared" si="27"/>
        <v>Good</v>
      </c>
      <c r="AK300" t="str">
        <f t="shared" si="28"/>
        <v>Very Satisfied</v>
      </c>
      <c r="AL300">
        <f t="shared" si="29"/>
        <v>44256</v>
      </c>
    </row>
    <row r="301" spans="1:38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24"/>
        <v>46+</v>
      </c>
      <c r="AH301" t="str">
        <f t="shared" si="25"/>
        <v>Mid (3-6K)</v>
      </c>
      <c r="AI301" t="str">
        <f t="shared" si="26"/>
        <v>3-5 yrs</v>
      </c>
      <c r="AJ301" t="str">
        <f t="shared" si="27"/>
        <v>Good</v>
      </c>
      <c r="AK301" t="str">
        <f t="shared" si="28"/>
        <v>Dissatisfied</v>
      </c>
      <c r="AL301">
        <f t="shared" si="29"/>
        <v>65784</v>
      </c>
    </row>
    <row r="302" spans="1:38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24"/>
        <v>36-45</v>
      </c>
      <c r="AH302" t="str">
        <f t="shared" si="25"/>
        <v>Very High (10K+)</v>
      </c>
      <c r="AI302" t="str">
        <f t="shared" si="26"/>
        <v>10+ yrs</v>
      </c>
      <c r="AJ302" t="str">
        <f t="shared" si="27"/>
        <v>Good</v>
      </c>
      <c r="AK302" t="str">
        <f t="shared" si="28"/>
        <v>Dissatisfied</v>
      </c>
      <c r="AL302">
        <f t="shared" si="29"/>
        <v>192180</v>
      </c>
    </row>
    <row r="303" spans="1:38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24"/>
        <v>20-25</v>
      </c>
      <c r="AH303" t="str">
        <f t="shared" si="25"/>
        <v>Low (0-3K)</v>
      </c>
      <c r="AI303" t="str">
        <f t="shared" si="26"/>
        <v>0-2 yrs</v>
      </c>
      <c r="AJ303" t="str">
        <f t="shared" si="27"/>
        <v>Good</v>
      </c>
      <c r="AK303" t="str">
        <f t="shared" si="28"/>
        <v>Satisfied</v>
      </c>
      <c r="AL303">
        <f t="shared" si="29"/>
        <v>14400</v>
      </c>
    </row>
    <row r="304" spans="1:38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24"/>
        <v>26-35</v>
      </c>
      <c r="AH304" t="str">
        <f t="shared" si="25"/>
        <v>Mid (3-6K)</v>
      </c>
      <c r="AI304" t="str">
        <f t="shared" si="26"/>
        <v>6-10 yrs</v>
      </c>
      <c r="AJ304" t="str">
        <f t="shared" si="27"/>
        <v>Good</v>
      </c>
      <c r="AK304" t="str">
        <f t="shared" si="28"/>
        <v>Very Dissatisfied</v>
      </c>
      <c r="AL304">
        <f t="shared" si="29"/>
        <v>67932</v>
      </c>
    </row>
    <row r="305" spans="1:38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24"/>
        <v>26-35</v>
      </c>
      <c r="AH305" t="str">
        <f t="shared" si="25"/>
        <v>High (6-10K)</v>
      </c>
      <c r="AI305" t="str">
        <f t="shared" si="26"/>
        <v>6-10 yrs</v>
      </c>
      <c r="AJ305" t="str">
        <f t="shared" si="27"/>
        <v>Good</v>
      </c>
      <c r="AK305" t="str">
        <f t="shared" si="28"/>
        <v>Very Satisfied</v>
      </c>
      <c r="AL305">
        <f t="shared" si="29"/>
        <v>83148</v>
      </c>
    </row>
    <row r="306" spans="1:38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24"/>
        <v>36-45</v>
      </c>
      <c r="AH306" t="str">
        <f t="shared" si="25"/>
        <v>High (6-10K)</v>
      </c>
      <c r="AI306" t="str">
        <f t="shared" si="26"/>
        <v>10+ yrs</v>
      </c>
      <c r="AJ306" t="str">
        <f t="shared" si="27"/>
        <v>Good</v>
      </c>
      <c r="AK306" t="str">
        <f t="shared" si="28"/>
        <v>Very Satisfied</v>
      </c>
      <c r="AL306">
        <f t="shared" si="29"/>
        <v>115356</v>
      </c>
    </row>
    <row r="307" spans="1:38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24"/>
        <v>36-45</v>
      </c>
      <c r="AH307" t="str">
        <f t="shared" si="25"/>
        <v>Mid (3-6K)</v>
      </c>
      <c r="AI307" t="str">
        <f t="shared" si="26"/>
        <v>6-10 yrs</v>
      </c>
      <c r="AJ307" t="str">
        <f t="shared" si="27"/>
        <v>Good</v>
      </c>
      <c r="AK307" t="str">
        <f t="shared" si="28"/>
        <v>Dissatisfied</v>
      </c>
      <c r="AL307">
        <f t="shared" si="29"/>
        <v>68088</v>
      </c>
    </row>
    <row r="308" spans="1:38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24"/>
        <v>26-35</v>
      </c>
      <c r="AH308" t="str">
        <f t="shared" si="25"/>
        <v>Mid (3-6K)</v>
      </c>
      <c r="AI308" t="str">
        <f t="shared" si="26"/>
        <v>10+ yrs</v>
      </c>
      <c r="AJ308" t="str">
        <f t="shared" si="27"/>
        <v>Good</v>
      </c>
      <c r="AK308" t="str">
        <f t="shared" si="28"/>
        <v>Satisfied</v>
      </c>
      <c r="AL308">
        <f t="shared" si="29"/>
        <v>65808</v>
      </c>
    </row>
    <row r="309" spans="1:38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24"/>
        <v>36-45</v>
      </c>
      <c r="AH309" t="str">
        <f t="shared" si="25"/>
        <v>Very High (10K+)</v>
      </c>
      <c r="AI309" t="str">
        <f t="shared" si="26"/>
        <v>6-10 yrs</v>
      </c>
      <c r="AJ309" t="str">
        <f t="shared" si="27"/>
        <v>Good</v>
      </c>
      <c r="AK309" t="str">
        <f t="shared" si="28"/>
        <v>Dissatisfied</v>
      </c>
      <c r="AL309">
        <f t="shared" si="29"/>
        <v>144732</v>
      </c>
    </row>
    <row r="310" spans="1:38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24"/>
        <v>46+</v>
      </c>
      <c r="AH310" t="str">
        <f t="shared" si="25"/>
        <v>Mid (3-6K)</v>
      </c>
      <c r="AI310" t="str">
        <f t="shared" si="26"/>
        <v>3-5 yrs</v>
      </c>
      <c r="AJ310" t="str">
        <f t="shared" si="27"/>
        <v>Good</v>
      </c>
      <c r="AK310" t="str">
        <f t="shared" si="28"/>
        <v>Satisfied</v>
      </c>
      <c r="AL310">
        <f t="shared" si="29"/>
        <v>67920</v>
      </c>
    </row>
    <row r="311" spans="1:38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24"/>
        <v>26-35</v>
      </c>
      <c r="AH311" t="str">
        <f t="shared" si="25"/>
        <v>Mid (3-6K)</v>
      </c>
      <c r="AI311" t="str">
        <f t="shared" si="26"/>
        <v>3-5 yrs</v>
      </c>
      <c r="AJ311" t="str">
        <f t="shared" si="27"/>
        <v>Good</v>
      </c>
      <c r="AK311" t="str">
        <f t="shared" si="28"/>
        <v>Very Satisfied</v>
      </c>
      <c r="AL311">
        <f t="shared" si="29"/>
        <v>57852</v>
      </c>
    </row>
    <row r="312" spans="1:38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24"/>
        <v>26-35</v>
      </c>
      <c r="AH312" t="str">
        <f t="shared" si="25"/>
        <v>High (6-10K)</v>
      </c>
      <c r="AI312" t="str">
        <f t="shared" si="26"/>
        <v>0-2 yrs</v>
      </c>
      <c r="AJ312" t="str">
        <f t="shared" si="27"/>
        <v>Good</v>
      </c>
      <c r="AK312" t="str">
        <f t="shared" si="28"/>
        <v>Very Dissatisfied</v>
      </c>
      <c r="AL312">
        <f t="shared" si="29"/>
        <v>76920</v>
      </c>
    </row>
    <row r="313" spans="1:38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24"/>
        <v>36-45</v>
      </c>
      <c r="AH313" t="str">
        <f t="shared" si="25"/>
        <v>Mid (3-6K)</v>
      </c>
      <c r="AI313" t="str">
        <f t="shared" si="26"/>
        <v>10+ yrs</v>
      </c>
      <c r="AJ313" t="str">
        <f t="shared" si="27"/>
        <v>Good</v>
      </c>
      <c r="AK313" t="str">
        <f t="shared" si="28"/>
        <v>Very Dissatisfied</v>
      </c>
      <c r="AL313">
        <f t="shared" si="29"/>
        <v>62520</v>
      </c>
    </row>
    <row r="314" spans="1:38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24"/>
        <v>26-35</v>
      </c>
      <c r="AH314" t="str">
        <f t="shared" si="25"/>
        <v>Low (0-3K)</v>
      </c>
      <c r="AI314" t="str">
        <f t="shared" si="26"/>
        <v>0-2 yrs</v>
      </c>
      <c r="AJ314" t="str">
        <f t="shared" si="27"/>
        <v>Good</v>
      </c>
      <c r="AK314" t="str">
        <f t="shared" si="28"/>
        <v>Very Satisfied</v>
      </c>
      <c r="AL314">
        <f t="shared" si="29"/>
        <v>32340</v>
      </c>
    </row>
    <row r="315" spans="1:38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24"/>
        <v>26-35</v>
      </c>
      <c r="AH315" t="str">
        <f t="shared" si="25"/>
        <v>Very High (10K+)</v>
      </c>
      <c r="AI315" t="str">
        <f t="shared" si="26"/>
        <v>6-10 yrs</v>
      </c>
      <c r="AJ315" t="str">
        <f t="shared" si="27"/>
        <v>Good</v>
      </c>
      <c r="AK315" t="str">
        <f t="shared" si="28"/>
        <v>Dissatisfied</v>
      </c>
      <c r="AL315">
        <f t="shared" si="29"/>
        <v>142536</v>
      </c>
    </row>
    <row r="316" spans="1:38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24"/>
        <v>36-45</v>
      </c>
      <c r="AH316" t="str">
        <f t="shared" si="25"/>
        <v>Very High (10K+)</v>
      </c>
      <c r="AI316" t="str">
        <f t="shared" si="26"/>
        <v>10+ yrs</v>
      </c>
      <c r="AJ316" t="str">
        <f t="shared" si="27"/>
        <v>Good</v>
      </c>
      <c r="AK316" t="str">
        <f t="shared" si="28"/>
        <v>Very Dissatisfied</v>
      </c>
      <c r="AL316">
        <f t="shared" si="29"/>
        <v>204816</v>
      </c>
    </row>
    <row r="317" spans="1:38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24"/>
        <v>36-45</v>
      </c>
      <c r="AH317" t="str">
        <f t="shared" si="25"/>
        <v>Low (0-3K)</v>
      </c>
      <c r="AI317" t="str">
        <f t="shared" si="26"/>
        <v>6-10 yrs</v>
      </c>
      <c r="AJ317" t="str">
        <f t="shared" si="27"/>
        <v>Good</v>
      </c>
      <c r="AK317" t="str">
        <f t="shared" si="28"/>
        <v>Very Satisfied</v>
      </c>
      <c r="AL317">
        <f t="shared" si="29"/>
        <v>29460</v>
      </c>
    </row>
    <row r="318" spans="1:38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24"/>
        <v>46+</v>
      </c>
      <c r="AH318" t="str">
        <f t="shared" si="25"/>
        <v>Very High (10K+)</v>
      </c>
      <c r="AI318" t="str">
        <f t="shared" si="26"/>
        <v>6-10 yrs</v>
      </c>
      <c r="AJ318" t="str">
        <f t="shared" si="27"/>
        <v>Good</v>
      </c>
      <c r="AK318" t="str">
        <f t="shared" si="28"/>
        <v>Satisfied</v>
      </c>
      <c r="AL318">
        <f t="shared" si="29"/>
        <v>167568</v>
      </c>
    </row>
    <row r="319" spans="1:38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24"/>
        <v>46+</v>
      </c>
      <c r="AH319" t="str">
        <f t="shared" si="25"/>
        <v>Mid (3-6K)</v>
      </c>
      <c r="AI319" t="str">
        <f t="shared" si="26"/>
        <v>6-10 yrs</v>
      </c>
      <c r="AJ319" t="str">
        <f t="shared" si="27"/>
        <v>Good</v>
      </c>
      <c r="AK319" t="str">
        <f t="shared" si="28"/>
        <v>Dissatisfied</v>
      </c>
      <c r="AL319">
        <f t="shared" si="29"/>
        <v>59292</v>
      </c>
    </row>
    <row r="320" spans="1:38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24"/>
        <v>26-35</v>
      </c>
      <c r="AH320" t="str">
        <f t="shared" si="25"/>
        <v>Low (0-3K)</v>
      </c>
      <c r="AI320" t="str">
        <f t="shared" si="26"/>
        <v>3-5 yrs</v>
      </c>
      <c r="AJ320" t="str">
        <f t="shared" si="27"/>
        <v>Good</v>
      </c>
      <c r="AK320" t="str">
        <f t="shared" si="28"/>
        <v>Dissatisfied</v>
      </c>
      <c r="AL320">
        <f t="shared" si="29"/>
        <v>29736</v>
      </c>
    </row>
    <row r="321" spans="1:38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24"/>
        <v>26-35</v>
      </c>
      <c r="AH321" t="str">
        <f t="shared" si="25"/>
        <v>Mid (3-6K)</v>
      </c>
      <c r="AI321" t="str">
        <f t="shared" si="26"/>
        <v>10+ yrs</v>
      </c>
      <c r="AJ321" t="str">
        <f t="shared" si="27"/>
        <v>Good</v>
      </c>
      <c r="AK321" t="str">
        <f t="shared" si="28"/>
        <v>Dissatisfied</v>
      </c>
      <c r="AL321">
        <f t="shared" si="29"/>
        <v>62736</v>
      </c>
    </row>
    <row r="322" spans="1:38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si="24"/>
        <v>26-35</v>
      </c>
      <c r="AH322" t="str">
        <f t="shared" si="25"/>
        <v>Mid (3-6K)</v>
      </c>
      <c r="AI322" t="str">
        <f t="shared" si="26"/>
        <v>3-5 yrs</v>
      </c>
      <c r="AJ322" t="str">
        <f t="shared" si="27"/>
        <v>Good</v>
      </c>
      <c r="AK322" t="str">
        <f t="shared" si="28"/>
        <v>Satisfied</v>
      </c>
      <c r="AL322">
        <f t="shared" si="29"/>
        <v>53736</v>
      </c>
    </row>
    <row r="323" spans="1:38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ref="AG323:AG386" si="30">IF(A323&lt;=25,"20-25",IF(A323&lt;=35,"26-35",IF(A323&lt;=45,"36-45","46+")))</f>
        <v>26-35</v>
      </c>
      <c r="AH323" t="str">
        <f t="shared" ref="AH323:AH386" si="31">IF(R323&lt;=3000,"Low (0-3K)",IF(R323&lt;=6000,"Mid (3-6K)",IF(R323&lt;=10000,"High (6-10K)","Very High (10K+)")))</f>
        <v>High (6-10K)</v>
      </c>
      <c r="AI323" t="str">
        <f t="shared" ref="AI323:AI386" si="32">IF(AC323&lt;=2,"0-2 yrs",IF(AC323&lt;=5,"3-5 yrs",IF(AC323&lt;=10,"6-10 yrs","10+ yrs")))</f>
        <v>6-10 yrs</v>
      </c>
      <c r="AJ323" t="str">
        <f t="shared" ref="AJ323:AJ386" si="33">IF(W323=4,"Excellent",IF(W323=3,"Good",IF(W323=2,"Needs Improvement","Poor")))</f>
        <v>Good</v>
      </c>
      <c r="AK323" t="str">
        <f t="shared" ref="AK323:AK386" si="34">IF(P323=4,"Very Satisfied",IF(P323=3,"Satisfied",IF(P323=2,"Dissatisfied","Very Dissatisfied")))</f>
        <v>Very Satisfied</v>
      </c>
      <c r="AL323">
        <f t="shared" ref="AL323:AL386" si="35">R323*12</f>
        <v>90564</v>
      </c>
    </row>
    <row r="324" spans="1:38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30"/>
        <v>26-35</v>
      </c>
      <c r="AH324" t="str">
        <f t="shared" si="31"/>
        <v>Mid (3-6K)</v>
      </c>
      <c r="AI324" t="str">
        <f t="shared" si="32"/>
        <v>6-10 yrs</v>
      </c>
      <c r="AJ324" t="str">
        <f t="shared" si="33"/>
        <v>Good</v>
      </c>
      <c r="AK324" t="str">
        <f t="shared" si="34"/>
        <v>Very Satisfied</v>
      </c>
      <c r="AL324">
        <f t="shared" si="35"/>
        <v>60660</v>
      </c>
    </row>
    <row r="325" spans="1:38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30"/>
        <v>26-35</v>
      </c>
      <c r="AH325" t="str">
        <f t="shared" si="31"/>
        <v>Mid (3-6K)</v>
      </c>
      <c r="AI325" t="str">
        <f t="shared" si="32"/>
        <v>3-5 yrs</v>
      </c>
      <c r="AJ325" t="str">
        <f t="shared" si="33"/>
        <v>Good</v>
      </c>
      <c r="AK325" t="str">
        <f t="shared" si="34"/>
        <v>Very Satisfied</v>
      </c>
      <c r="AL325">
        <f t="shared" si="35"/>
        <v>41568</v>
      </c>
    </row>
    <row r="326" spans="1:38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30"/>
        <v>26-35</v>
      </c>
      <c r="AH326" t="str">
        <f t="shared" si="31"/>
        <v>Mid (3-6K)</v>
      </c>
      <c r="AI326" t="str">
        <f t="shared" si="32"/>
        <v>6-10 yrs</v>
      </c>
      <c r="AJ326" t="str">
        <f t="shared" si="33"/>
        <v>Good</v>
      </c>
      <c r="AK326" t="str">
        <f t="shared" si="34"/>
        <v>Very Satisfied</v>
      </c>
      <c r="AL326">
        <f t="shared" si="35"/>
        <v>69300</v>
      </c>
    </row>
    <row r="327" spans="1:38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30"/>
        <v>26-35</v>
      </c>
      <c r="AH327" t="str">
        <f t="shared" si="31"/>
        <v>High (6-10K)</v>
      </c>
      <c r="AI327" t="str">
        <f t="shared" si="32"/>
        <v>6-10 yrs</v>
      </c>
      <c r="AJ327" t="str">
        <f t="shared" si="33"/>
        <v>Excellent</v>
      </c>
      <c r="AK327" t="str">
        <f t="shared" si="34"/>
        <v>Satisfied</v>
      </c>
      <c r="AL327">
        <f t="shared" si="35"/>
        <v>107316</v>
      </c>
    </row>
    <row r="328" spans="1:38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30"/>
        <v>36-45</v>
      </c>
      <c r="AH328" t="str">
        <f t="shared" si="31"/>
        <v>Very High (10K+)</v>
      </c>
      <c r="AI328" t="str">
        <f t="shared" si="32"/>
        <v>10+ yrs</v>
      </c>
      <c r="AJ328" t="str">
        <f t="shared" si="33"/>
        <v>Good</v>
      </c>
      <c r="AK328" t="str">
        <f t="shared" si="34"/>
        <v>Very Satisfied</v>
      </c>
      <c r="AL328">
        <f t="shared" si="35"/>
        <v>231264</v>
      </c>
    </row>
    <row r="329" spans="1:38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30"/>
        <v>36-45</v>
      </c>
      <c r="AH329" t="str">
        <f t="shared" si="31"/>
        <v>Mid (3-6K)</v>
      </c>
      <c r="AI329" t="str">
        <f t="shared" si="32"/>
        <v>0-2 yrs</v>
      </c>
      <c r="AJ329" t="str">
        <f t="shared" si="33"/>
        <v>Good</v>
      </c>
      <c r="AK329" t="str">
        <f t="shared" si="34"/>
        <v>Satisfied</v>
      </c>
      <c r="AL329">
        <f t="shared" si="35"/>
        <v>62856</v>
      </c>
    </row>
    <row r="330" spans="1:38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30"/>
        <v>26-35</v>
      </c>
      <c r="AH330" t="str">
        <f t="shared" si="31"/>
        <v>Mid (3-6K)</v>
      </c>
      <c r="AI330" t="str">
        <f t="shared" si="32"/>
        <v>6-10 yrs</v>
      </c>
      <c r="AJ330" t="str">
        <f t="shared" si="33"/>
        <v>Good</v>
      </c>
      <c r="AK330" t="str">
        <f t="shared" si="34"/>
        <v>Very Satisfied</v>
      </c>
      <c r="AL330">
        <f t="shared" si="35"/>
        <v>56184</v>
      </c>
    </row>
    <row r="331" spans="1:38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30"/>
        <v>46+</v>
      </c>
      <c r="AH331" t="str">
        <f t="shared" si="31"/>
        <v>Very High (10K+)</v>
      </c>
      <c r="AI331" t="str">
        <f t="shared" si="32"/>
        <v>3-5 yrs</v>
      </c>
      <c r="AJ331" t="str">
        <f t="shared" si="33"/>
        <v>Good</v>
      </c>
      <c r="AK331" t="str">
        <f t="shared" si="34"/>
        <v>Satisfied</v>
      </c>
      <c r="AL331">
        <f t="shared" si="35"/>
        <v>219600</v>
      </c>
    </row>
    <row r="332" spans="1:38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30"/>
        <v>36-45</v>
      </c>
      <c r="AH332" t="str">
        <f t="shared" si="31"/>
        <v>Mid (3-6K)</v>
      </c>
      <c r="AI332" t="str">
        <f t="shared" si="32"/>
        <v>6-10 yrs</v>
      </c>
      <c r="AJ332" t="str">
        <f t="shared" si="33"/>
        <v>Good</v>
      </c>
      <c r="AK332" t="str">
        <f t="shared" si="34"/>
        <v>Satisfied</v>
      </c>
      <c r="AL332">
        <f t="shared" si="35"/>
        <v>63084</v>
      </c>
    </row>
    <row r="333" spans="1:38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30"/>
        <v>26-35</v>
      </c>
      <c r="AH333" t="str">
        <f t="shared" si="31"/>
        <v>High (6-10K)</v>
      </c>
      <c r="AI333" t="str">
        <f t="shared" si="32"/>
        <v>3-5 yrs</v>
      </c>
      <c r="AJ333" t="str">
        <f t="shared" si="33"/>
        <v>Good</v>
      </c>
      <c r="AK333" t="str">
        <f t="shared" si="34"/>
        <v>Dissatisfied</v>
      </c>
      <c r="AL333">
        <f t="shared" si="35"/>
        <v>76188</v>
      </c>
    </row>
    <row r="334" spans="1:38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30"/>
        <v>46+</v>
      </c>
      <c r="AH334" t="str">
        <f t="shared" si="31"/>
        <v>Mid (3-6K)</v>
      </c>
      <c r="AI334" t="str">
        <f t="shared" si="32"/>
        <v>3-5 yrs</v>
      </c>
      <c r="AJ334" t="str">
        <f t="shared" si="33"/>
        <v>Good</v>
      </c>
      <c r="AK334" t="str">
        <f t="shared" si="34"/>
        <v>Satisfied</v>
      </c>
      <c r="AL334">
        <f t="shared" si="35"/>
        <v>58428</v>
      </c>
    </row>
    <row r="335" spans="1:38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30"/>
        <v>36-45</v>
      </c>
      <c r="AH335" t="str">
        <f t="shared" si="31"/>
        <v>High (6-10K)</v>
      </c>
      <c r="AI335" t="str">
        <f t="shared" si="32"/>
        <v>0-2 yrs</v>
      </c>
      <c r="AJ335" t="str">
        <f t="shared" si="33"/>
        <v>Good</v>
      </c>
      <c r="AK335" t="str">
        <f t="shared" si="34"/>
        <v>Very Dissatisfied</v>
      </c>
      <c r="AL335">
        <f t="shared" si="35"/>
        <v>119820</v>
      </c>
    </row>
    <row r="336" spans="1:38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30"/>
        <v>36-45</v>
      </c>
      <c r="AH336" t="str">
        <f t="shared" si="31"/>
        <v>Mid (3-6K)</v>
      </c>
      <c r="AI336" t="str">
        <f t="shared" si="32"/>
        <v>6-10 yrs</v>
      </c>
      <c r="AJ336" t="str">
        <f t="shared" si="33"/>
        <v>Good</v>
      </c>
      <c r="AK336" t="str">
        <f t="shared" si="34"/>
        <v>Very Satisfied</v>
      </c>
      <c r="AL336">
        <f t="shared" si="35"/>
        <v>44364</v>
      </c>
    </row>
    <row r="337" spans="1:38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30"/>
        <v>36-45</v>
      </c>
      <c r="AH337" t="str">
        <f t="shared" si="31"/>
        <v>High (6-10K)</v>
      </c>
      <c r="AI337" t="str">
        <f t="shared" si="32"/>
        <v>3-5 yrs</v>
      </c>
      <c r="AJ337" t="str">
        <f t="shared" si="33"/>
        <v>Excellent</v>
      </c>
      <c r="AK337" t="str">
        <f t="shared" si="34"/>
        <v>Very Satisfied</v>
      </c>
      <c r="AL337">
        <f t="shared" si="35"/>
        <v>89484</v>
      </c>
    </row>
    <row r="338" spans="1:38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30"/>
        <v>26-35</v>
      </c>
      <c r="AH338" t="str">
        <f t="shared" si="31"/>
        <v>Low (0-3K)</v>
      </c>
      <c r="AI338" t="str">
        <f t="shared" si="32"/>
        <v>6-10 yrs</v>
      </c>
      <c r="AJ338" t="str">
        <f t="shared" si="33"/>
        <v>Good</v>
      </c>
      <c r="AK338" t="str">
        <f t="shared" si="34"/>
        <v>Very Dissatisfied</v>
      </c>
      <c r="AL338">
        <f t="shared" si="35"/>
        <v>25428</v>
      </c>
    </row>
    <row r="339" spans="1:38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30"/>
        <v>26-35</v>
      </c>
      <c r="AH339" t="str">
        <f t="shared" si="31"/>
        <v>Mid (3-6K)</v>
      </c>
      <c r="AI339" t="str">
        <f t="shared" si="32"/>
        <v>3-5 yrs</v>
      </c>
      <c r="AJ339" t="str">
        <f t="shared" si="33"/>
        <v>Good</v>
      </c>
      <c r="AK339" t="str">
        <f t="shared" si="34"/>
        <v>Very Satisfied</v>
      </c>
      <c r="AL339">
        <f t="shared" si="35"/>
        <v>47796</v>
      </c>
    </row>
    <row r="340" spans="1:38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30"/>
        <v>26-35</v>
      </c>
      <c r="AH340" t="str">
        <f t="shared" si="31"/>
        <v>High (6-10K)</v>
      </c>
      <c r="AI340" t="str">
        <f t="shared" si="32"/>
        <v>6-10 yrs</v>
      </c>
      <c r="AJ340" t="str">
        <f t="shared" si="33"/>
        <v>Good</v>
      </c>
      <c r="AK340" t="str">
        <f t="shared" si="34"/>
        <v>Satisfied</v>
      </c>
      <c r="AL340">
        <f t="shared" si="35"/>
        <v>73416</v>
      </c>
    </row>
    <row r="341" spans="1:38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30"/>
        <v>26-35</v>
      </c>
      <c r="AH341" t="str">
        <f t="shared" si="31"/>
        <v>High (6-10K)</v>
      </c>
      <c r="AI341" t="str">
        <f t="shared" si="32"/>
        <v>6-10 yrs</v>
      </c>
      <c r="AJ341" t="str">
        <f t="shared" si="33"/>
        <v>Good</v>
      </c>
      <c r="AK341" t="str">
        <f t="shared" si="34"/>
        <v>Dissatisfied</v>
      </c>
      <c r="AL341">
        <f t="shared" si="35"/>
        <v>74568</v>
      </c>
    </row>
    <row r="342" spans="1:38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30"/>
        <v>36-45</v>
      </c>
      <c r="AH342" t="str">
        <f t="shared" si="31"/>
        <v>High (6-10K)</v>
      </c>
      <c r="AI342" t="str">
        <f t="shared" si="32"/>
        <v>6-10 yrs</v>
      </c>
      <c r="AJ342" t="str">
        <f t="shared" si="33"/>
        <v>Good</v>
      </c>
      <c r="AK342" t="str">
        <f t="shared" si="34"/>
        <v>Very Satisfied</v>
      </c>
      <c r="AL342">
        <f t="shared" si="35"/>
        <v>76164</v>
      </c>
    </row>
    <row r="343" spans="1:38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30"/>
        <v>36-45</v>
      </c>
      <c r="AH343" t="str">
        <f t="shared" si="31"/>
        <v>Very High (10K+)</v>
      </c>
      <c r="AI343" t="str">
        <f t="shared" si="32"/>
        <v>10+ yrs</v>
      </c>
      <c r="AJ343" t="str">
        <f t="shared" si="33"/>
        <v>Good</v>
      </c>
      <c r="AK343" t="str">
        <f t="shared" si="34"/>
        <v>Very Satisfied</v>
      </c>
      <c r="AL343">
        <f t="shared" si="35"/>
        <v>138120</v>
      </c>
    </row>
    <row r="344" spans="1:38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30"/>
        <v>26-35</v>
      </c>
      <c r="AH344" t="str">
        <f t="shared" si="31"/>
        <v>High (6-10K)</v>
      </c>
      <c r="AI344" t="str">
        <f t="shared" si="32"/>
        <v>10+ yrs</v>
      </c>
      <c r="AJ344" t="str">
        <f t="shared" si="33"/>
        <v>Good</v>
      </c>
      <c r="AK344" t="str">
        <f t="shared" si="34"/>
        <v>Very Satisfied</v>
      </c>
      <c r="AL344">
        <f t="shared" si="35"/>
        <v>85716</v>
      </c>
    </row>
    <row r="345" spans="1:38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30"/>
        <v>26-35</v>
      </c>
      <c r="AH345" t="str">
        <f t="shared" si="31"/>
        <v>High (6-10K)</v>
      </c>
      <c r="AI345" t="str">
        <f t="shared" si="32"/>
        <v>6-10 yrs</v>
      </c>
      <c r="AJ345" t="str">
        <f t="shared" si="33"/>
        <v>Good</v>
      </c>
      <c r="AK345" t="str">
        <f t="shared" si="34"/>
        <v>Dissatisfied</v>
      </c>
      <c r="AL345">
        <f t="shared" si="35"/>
        <v>99216</v>
      </c>
    </row>
    <row r="346" spans="1:38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30"/>
        <v>26-35</v>
      </c>
      <c r="AH346" t="str">
        <f t="shared" si="31"/>
        <v>High (6-10K)</v>
      </c>
      <c r="AI346" t="str">
        <f t="shared" si="32"/>
        <v>10+ yrs</v>
      </c>
      <c r="AJ346" t="str">
        <f t="shared" si="33"/>
        <v>Good</v>
      </c>
      <c r="AK346" t="str">
        <f t="shared" si="34"/>
        <v>Dissatisfied</v>
      </c>
      <c r="AL346">
        <f t="shared" si="35"/>
        <v>97140</v>
      </c>
    </row>
    <row r="347" spans="1:38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30"/>
        <v>20-25</v>
      </c>
      <c r="AH347" t="str">
        <f t="shared" si="31"/>
        <v>Low (0-3K)</v>
      </c>
      <c r="AI347" t="str">
        <f t="shared" si="32"/>
        <v>3-5 yrs</v>
      </c>
      <c r="AJ347" t="str">
        <f t="shared" si="33"/>
        <v>Good</v>
      </c>
      <c r="AK347" t="str">
        <f t="shared" si="34"/>
        <v>Very Satisfied</v>
      </c>
      <c r="AL347">
        <f t="shared" si="35"/>
        <v>34848</v>
      </c>
    </row>
    <row r="348" spans="1:38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30"/>
        <v>36-45</v>
      </c>
      <c r="AH348" t="str">
        <f t="shared" si="31"/>
        <v>High (6-10K)</v>
      </c>
      <c r="AI348" t="str">
        <f t="shared" si="32"/>
        <v>3-5 yrs</v>
      </c>
      <c r="AJ348" t="str">
        <f t="shared" si="33"/>
        <v>Good</v>
      </c>
      <c r="AK348" t="str">
        <f t="shared" si="34"/>
        <v>Dissatisfied</v>
      </c>
      <c r="AL348">
        <f t="shared" si="35"/>
        <v>72384</v>
      </c>
    </row>
    <row r="349" spans="1:38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30"/>
        <v>46+</v>
      </c>
      <c r="AH349" t="str">
        <f t="shared" si="31"/>
        <v>Low (0-3K)</v>
      </c>
      <c r="AI349" t="str">
        <f t="shared" si="32"/>
        <v>0-2 yrs</v>
      </c>
      <c r="AJ349" t="str">
        <f t="shared" si="33"/>
        <v>Good</v>
      </c>
      <c r="AK349" t="str">
        <f t="shared" si="34"/>
        <v>Satisfied</v>
      </c>
      <c r="AL349">
        <f t="shared" si="35"/>
        <v>35712</v>
      </c>
    </row>
    <row r="350" spans="1:38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30"/>
        <v>36-45</v>
      </c>
      <c r="AH350" t="str">
        <f t="shared" si="31"/>
        <v>Very High (10K+)</v>
      </c>
      <c r="AI350" t="str">
        <f t="shared" si="32"/>
        <v>0-2 yrs</v>
      </c>
      <c r="AJ350" t="str">
        <f t="shared" si="33"/>
        <v>Good</v>
      </c>
      <c r="AK350" t="str">
        <f t="shared" si="34"/>
        <v>Very Satisfied</v>
      </c>
      <c r="AL350">
        <f t="shared" si="35"/>
        <v>191904</v>
      </c>
    </row>
    <row r="351" spans="1:38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30"/>
        <v>26-35</v>
      </c>
      <c r="AH351" t="str">
        <f t="shared" si="31"/>
        <v>Mid (3-6K)</v>
      </c>
      <c r="AI351" t="str">
        <f t="shared" si="32"/>
        <v>3-5 yrs</v>
      </c>
      <c r="AJ351" t="str">
        <f t="shared" si="33"/>
        <v>Good</v>
      </c>
      <c r="AK351" t="str">
        <f t="shared" si="34"/>
        <v>Satisfied</v>
      </c>
      <c r="AL351">
        <f t="shared" si="35"/>
        <v>55788</v>
      </c>
    </row>
    <row r="352" spans="1:38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30"/>
        <v>36-45</v>
      </c>
      <c r="AH352" t="str">
        <f t="shared" si="31"/>
        <v>Low (0-3K)</v>
      </c>
      <c r="AI352" t="str">
        <f t="shared" si="32"/>
        <v>3-5 yrs</v>
      </c>
      <c r="AJ352" t="str">
        <f t="shared" si="33"/>
        <v>Good</v>
      </c>
      <c r="AK352" t="str">
        <f t="shared" si="34"/>
        <v>Satisfied</v>
      </c>
      <c r="AL352">
        <f t="shared" si="35"/>
        <v>32352</v>
      </c>
    </row>
    <row r="353" spans="1:38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30"/>
        <v>26-35</v>
      </c>
      <c r="AH353" t="str">
        <f t="shared" si="31"/>
        <v>Low (0-3K)</v>
      </c>
      <c r="AI353" t="str">
        <f t="shared" si="32"/>
        <v>6-10 yrs</v>
      </c>
      <c r="AJ353" t="str">
        <f t="shared" si="33"/>
        <v>Good</v>
      </c>
      <c r="AK353" t="str">
        <f t="shared" si="34"/>
        <v>Dissatisfied</v>
      </c>
      <c r="AL353">
        <f t="shared" si="35"/>
        <v>28440</v>
      </c>
    </row>
    <row r="354" spans="1:38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30"/>
        <v>46+</v>
      </c>
      <c r="AH354" t="str">
        <f t="shared" si="31"/>
        <v>Very High (10K+)</v>
      </c>
      <c r="AI354" t="str">
        <f t="shared" si="32"/>
        <v>0-2 yrs</v>
      </c>
      <c r="AJ354" t="str">
        <f t="shared" si="33"/>
        <v>Excellent</v>
      </c>
      <c r="AK354" t="str">
        <f t="shared" si="34"/>
        <v>Satisfied</v>
      </c>
      <c r="AL354">
        <f t="shared" si="35"/>
        <v>150048</v>
      </c>
    </row>
    <row r="355" spans="1:38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30"/>
        <v>36-45</v>
      </c>
      <c r="AH355" t="str">
        <f t="shared" si="31"/>
        <v>Mid (3-6K)</v>
      </c>
      <c r="AI355" t="str">
        <f t="shared" si="32"/>
        <v>6-10 yrs</v>
      </c>
      <c r="AJ355" t="str">
        <f t="shared" si="33"/>
        <v>Good</v>
      </c>
      <c r="AK355" t="str">
        <f t="shared" si="34"/>
        <v>Very Dissatisfied</v>
      </c>
      <c r="AL355">
        <f t="shared" si="35"/>
        <v>71688</v>
      </c>
    </row>
    <row r="356" spans="1:38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30"/>
        <v>26-35</v>
      </c>
      <c r="AH356" t="str">
        <f t="shared" si="31"/>
        <v>Mid (3-6K)</v>
      </c>
      <c r="AI356" t="str">
        <f t="shared" si="32"/>
        <v>0-2 yrs</v>
      </c>
      <c r="AJ356" t="str">
        <f t="shared" si="33"/>
        <v>Good</v>
      </c>
      <c r="AK356" t="str">
        <f t="shared" si="34"/>
        <v>Satisfied</v>
      </c>
      <c r="AL356">
        <f t="shared" si="35"/>
        <v>56832</v>
      </c>
    </row>
    <row r="357" spans="1:38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30"/>
        <v>26-35</v>
      </c>
      <c r="AH357" t="str">
        <f t="shared" si="31"/>
        <v>Mid (3-6K)</v>
      </c>
      <c r="AI357" t="str">
        <f t="shared" si="32"/>
        <v>6-10 yrs</v>
      </c>
      <c r="AJ357" t="str">
        <f t="shared" si="33"/>
        <v>Good</v>
      </c>
      <c r="AK357" t="str">
        <f t="shared" si="34"/>
        <v>Satisfied</v>
      </c>
      <c r="AL357">
        <f t="shared" si="35"/>
        <v>63552</v>
      </c>
    </row>
    <row r="358" spans="1:38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30"/>
        <v>36-45</v>
      </c>
      <c r="AH358" t="str">
        <f t="shared" si="31"/>
        <v>High (6-10K)</v>
      </c>
      <c r="AI358" t="str">
        <f t="shared" si="32"/>
        <v>0-2 yrs</v>
      </c>
      <c r="AJ358" t="str">
        <f t="shared" si="33"/>
        <v>Excellent</v>
      </c>
      <c r="AK358" t="str">
        <f t="shared" si="34"/>
        <v>Very Satisfied</v>
      </c>
      <c r="AL358">
        <f t="shared" si="35"/>
        <v>81372</v>
      </c>
    </row>
    <row r="359" spans="1:38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30"/>
        <v>20-25</v>
      </c>
      <c r="AH359" t="str">
        <f t="shared" si="31"/>
        <v>Low (0-3K)</v>
      </c>
      <c r="AI359" t="str">
        <f t="shared" si="32"/>
        <v>3-5 yrs</v>
      </c>
      <c r="AJ359" t="str">
        <f t="shared" si="33"/>
        <v>Good</v>
      </c>
      <c r="AK359" t="str">
        <f t="shared" si="34"/>
        <v>Dissatisfied</v>
      </c>
      <c r="AL359">
        <f t="shared" si="35"/>
        <v>26088</v>
      </c>
    </row>
    <row r="360" spans="1:38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30"/>
        <v>36-45</v>
      </c>
      <c r="AH360" t="str">
        <f t="shared" si="31"/>
        <v>High (6-10K)</v>
      </c>
      <c r="AI360" t="str">
        <f t="shared" si="32"/>
        <v>0-2 yrs</v>
      </c>
      <c r="AJ360" t="str">
        <f t="shared" si="33"/>
        <v>Good</v>
      </c>
      <c r="AK360" t="str">
        <f t="shared" si="34"/>
        <v>Very Satisfied</v>
      </c>
      <c r="AL360">
        <f t="shared" si="35"/>
        <v>79836</v>
      </c>
    </row>
    <row r="361" spans="1:38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30"/>
        <v>36-45</v>
      </c>
      <c r="AH361" t="str">
        <f t="shared" si="31"/>
        <v>High (6-10K)</v>
      </c>
      <c r="AI361" t="str">
        <f t="shared" si="32"/>
        <v>10+ yrs</v>
      </c>
      <c r="AJ361" t="str">
        <f t="shared" si="33"/>
        <v>Good</v>
      </c>
      <c r="AK361" t="str">
        <f t="shared" si="34"/>
        <v>Very Satisfied</v>
      </c>
      <c r="AL361">
        <f t="shared" si="35"/>
        <v>116388</v>
      </c>
    </row>
    <row r="362" spans="1:38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30"/>
        <v>46+</v>
      </c>
      <c r="AH362" t="str">
        <f t="shared" si="31"/>
        <v>High (6-10K)</v>
      </c>
      <c r="AI362" t="str">
        <f t="shared" si="32"/>
        <v>3-5 yrs</v>
      </c>
      <c r="AJ362" t="str">
        <f t="shared" si="33"/>
        <v>Good</v>
      </c>
      <c r="AK362" t="str">
        <f t="shared" si="34"/>
        <v>Satisfied</v>
      </c>
      <c r="AL362">
        <f t="shared" si="35"/>
        <v>81060</v>
      </c>
    </row>
    <row r="363" spans="1:38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30"/>
        <v>36-45</v>
      </c>
      <c r="AH363" t="str">
        <f t="shared" si="31"/>
        <v>Low (0-3K)</v>
      </c>
      <c r="AI363" t="str">
        <f t="shared" si="32"/>
        <v>6-10 yrs</v>
      </c>
      <c r="AJ363" t="str">
        <f t="shared" si="33"/>
        <v>Good</v>
      </c>
      <c r="AK363" t="str">
        <f t="shared" si="34"/>
        <v>Satisfied</v>
      </c>
      <c r="AL363">
        <f t="shared" si="35"/>
        <v>26556</v>
      </c>
    </row>
    <row r="364" spans="1:38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30"/>
        <v>20-25</v>
      </c>
      <c r="AH364" t="str">
        <f t="shared" si="31"/>
        <v>Low (0-3K)</v>
      </c>
      <c r="AI364" t="str">
        <f t="shared" si="32"/>
        <v>3-5 yrs</v>
      </c>
      <c r="AJ364" t="str">
        <f t="shared" si="33"/>
        <v>Excellent</v>
      </c>
      <c r="AK364" t="str">
        <f t="shared" si="34"/>
        <v>Very Satisfied</v>
      </c>
      <c r="AL364">
        <f t="shared" si="35"/>
        <v>31320</v>
      </c>
    </row>
    <row r="365" spans="1:38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30"/>
        <v>26-35</v>
      </c>
      <c r="AH365" t="str">
        <f t="shared" si="31"/>
        <v>Low (0-3K)</v>
      </c>
      <c r="AI365" t="str">
        <f t="shared" si="32"/>
        <v>0-2 yrs</v>
      </c>
      <c r="AJ365" t="str">
        <f t="shared" si="33"/>
        <v>Good</v>
      </c>
      <c r="AK365" t="str">
        <f t="shared" si="34"/>
        <v>Satisfied</v>
      </c>
      <c r="AL365">
        <f t="shared" si="35"/>
        <v>34212</v>
      </c>
    </row>
    <row r="366" spans="1:38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30"/>
        <v>36-45</v>
      </c>
      <c r="AH366" t="str">
        <f t="shared" si="31"/>
        <v>Mid (3-6K)</v>
      </c>
      <c r="AI366" t="str">
        <f t="shared" si="32"/>
        <v>3-5 yrs</v>
      </c>
      <c r="AJ366" t="str">
        <f t="shared" si="33"/>
        <v>Excellent</v>
      </c>
      <c r="AK366" t="str">
        <f t="shared" si="34"/>
        <v>Very Dissatisfied</v>
      </c>
      <c r="AL366">
        <f t="shared" si="35"/>
        <v>41424</v>
      </c>
    </row>
    <row r="367" spans="1:38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30"/>
        <v>46+</v>
      </c>
      <c r="AH367" t="str">
        <f t="shared" si="31"/>
        <v>Mid (3-6K)</v>
      </c>
      <c r="AI367" t="str">
        <f t="shared" si="32"/>
        <v>0-2 yrs</v>
      </c>
      <c r="AJ367" t="str">
        <f t="shared" si="33"/>
        <v>Good</v>
      </c>
      <c r="AK367" t="str">
        <f t="shared" si="34"/>
        <v>Satisfied</v>
      </c>
      <c r="AL367">
        <f t="shared" si="35"/>
        <v>63096</v>
      </c>
    </row>
    <row r="368" spans="1:38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30"/>
        <v>36-45</v>
      </c>
      <c r="AH368" t="str">
        <f t="shared" si="31"/>
        <v>High (6-10K)</v>
      </c>
      <c r="AI368" t="str">
        <f t="shared" si="32"/>
        <v>6-10 yrs</v>
      </c>
      <c r="AJ368" t="str">
        <f t="shared" si="33"/>
        <v>Good</v>
      </c>
      <c r="AK368" t="str">
        <f t="shared" si="34"/>
        <v>Dissatisfied</v>
      </c>
      <c r="AL368">
        <f t="shared" si="35"/>
        <v>112260</v>
      </c>
    </row>
    <row r="369" spans="1:38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30"/>
        <v>46+</v>
      </c>
      <c r="AH369" t="str">
        <f t="shared" si="31"/>
        <v>Very High (10K+)</v>
      </c>
      <c r="AI369" t="str">
        <f t="shared" si="32"/>
        <v>3-5 yrs</v>
      </c>
      <c r="AJ369" t="str">
        <f t="shared" si="33"/>
        <v>Good</v>
      </c>
      <c r="AK369" t="str">
        <f t="shared" si="34"/>
        <v>Very Satisfied</v>
      </c>
      <c r="AL369">
        <f t="shared" si="35"/>
        <v>125952</v>
      </c>
    </row>
    <row r="370" spans="1:38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30"/>
        <v>36-45</v>
      </c>
      <c r="AH370" t="str">
        <f t="shared" si="31"/>
        <v>High (6-10K)</v>
      </c>
      <c r="AI370" t="str">
        <f t="shared" si="32"/>
        <v>6-10 yrs</v>
      </c>
      <c r="AJ370" t="str">
        <f t="shared" si="33"/>
        <v>Good</v>
      </c>
      <c r="AK370" t="str">
        <f t="shared" si="34"/>
        <v>Satisfied</v>
      </c>
      <c r="AL370">
        <f t="shared" si="35"/>
        <v>76560</v>
      </c>
    </row>
    <row r="371" spans="1:38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30"/>
        <v>26-35</v>
      </c>
      <c r="AH371" t="str">
        <f t="shared" si="31"/>
        <v>Low (0-3K)</v>
      </c>
      <c r="AI371" t="str">
        <f t="shared" si="32"/>
        <v>0-2 yrs</v>
      </c>
      <c r="AJ371" t="str">
        <f t="shared" si="33"/>
        <v>Good</v>
      </c>
      <c r="AK371" t="str">
        <f t="shared" si="34"/>
        <v>Dissatisfied</v>
      </c>
      <c r="AL371">
        <f t="shared" si="35"/>
        <v>31884</v>
      </c>
    </row>
    <row r="372" spans="1:38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30"/>
        <v>20-25</v>
      </c>
      <c r="AH372" t="str">
        <f t="shared" si="31"/>
        <v>Low (0-3K)</v>
      </c>
      <c r="AI372" t="str">
        <f t="shared" si="32"/>
        <v>0-2 yrs</v>
      </c>
      <c r="AJ372" t="str">
        <f t="shared" si="33"/>
        <v>Good</v>
      </c>
      <c r="AK372" t="str">
        <f t="shared" si="34"/>
        <v>Dissatisfied</v>
      </c>
      <c r="AL372">
        <f t="shared" si="35"/>
        <v>32592</v>
      </c>
    </row>
    <row r="373" spans="1:38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30"/>
        <v>26-35</v>
      </c>
      <c r="AH373" t="str">
        <f t="shared" si="31"/>
        <v>Low (0-3K)</v>
      </c>
      <c r="AI373" t="str">
        <f t="shared" si="32"/>
        <v>3-5 yrs</v>
      </c>
      <c r="AJ373" t="str">
        <f t="shared" si="33"/>
        <v>Good</v>
      </c>
      <c r="AK373" t="str">
        <f t="shared" si="34"/>
        <v>Very Satisfied</v>
      </c>
      <c r="AL373">
        <f t="shared" si="35"/>
        <v>26412</v>
      </c>
    </row>
    <row r="374" spans="1:38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30"/>
        <v>26-35</v>
      </c>
      <c r="AH374" t="str">
        <f t="shared" si="31"/>
        <v>High (6-10K)</v>
      </c>
      <c r="AI374" t="str">
        <f t="shared" si="32"/>
        <v>0-2 yrs</v>
      </c>
      <c r="AJ374" t="str">
        <f t="shared" si="33"/>
        <v>Good</v>
      </c>
      <c r="AK374" t="str">
        <f t="shared" si="34"/>
        <v>Dissatisfied</v>
      </c>
      <c r="AL374">
        <f t="shared" si="35"/>
        <v>78480</v>
      </c>
    </row>
    <row r="375" spans="1:38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30"/>
        <v>26-35</v>
      </c>
      <c r="AH375" t="str">
        <f t="shared" si="31"/>
        <v>Mid (3-6K)</v>
      </c>
      <c r="AI375" t="str">
        <f t="shared" si="32"/>
        <v>3-5 yrs</v>
      </c>
      <c r="AJ375" t="str">
        <f t="shared" si="33"/>
        <v>Good</v>
      </c>
      <c r="AK375" t="str">
        <f t="shared" si="34"/>
        <v>Dissatisfied</v>
      </c>
      <c r="AL375">
        <f t="shared" si="35"/>
        <v>45792</v>
      </c>
    </row>
    <row r="376" spans="1:38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30"/>
        <v>26-35</v>
      </c>
      <c r="AH376" t="str">
        <f t="shared" si="31"/>
        <v>Mid (3-6K)</v>
      </c>
      <c r="AI376" t="str">
        <f t="shared" si="32"/>
        <v>6-10 yrs</v>
      </c>
      <c r="AJ376" t="str">
        <f t="shared" si="33"/>
        <v>Good</v>
      </c>
      <c r="AK376" t="str">
        <f t="shared" si="34"/>
        <v>Very Satisfied</v>
      </c>
      <c r="AL376">
        <f t="shared" si="35"/>
        <v>63036</v>
      </c>
    </row>
    <row r="377" spans="1:38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30"/>
        <v>46+</v>
      </c>
      <c r="AH377" t="str">
        <f t="shared" si="31"/>
        <v>Very High (10K+)</v>
      </c>
      <c r="AI377" t="str">
        <f t="shared" si="32"/>
        <v>3-5 yrs</v>
      </c>
      <c r="AJ377" t="str">
        <f t="shared" si="33"/>
        <v>Excellent</v>
      </c>
      <c r="AK377" t="str">
        <f t="shared" si="34"/>
        <v>Satisfied</v>
      </c>
      <c r="AL377">
        <f t="shared" si="35"/>
        <v>131580</v>
      </c>
    </row>
    <row r="378" spans="1:38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30"/>
        <v>46+</v>
      </c>
      <c r="AH378" t="str">
        <f t="shared" si="31"/>
        <v>Mid (3-6K)</v>
      </c>
      <c r="AI378" t="str">
        <f t="shared" si="32"/>
        <v>6-10 yrs</v>
      </c>
      <c r="AJ378" t="str">
        <f t="shared" si="33"/>
        <v>Good</v>
      </c>
      <c r="AK378" t="str">
        <f t="shared" si="34"/>
        <v>Very Satisfied</v>
      </c>
      <c r="AL378">
        <f t="shared" si="35"/>
        <v>59232</v>
      </c>
    </row>
    <row r="379" spans="1:38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30"/>
        <v>36-45</v>
      </c>
      <c r="AH379" t="str">
        <f t="shared" si="31"/>
        <v>Low (0-3K)</v>
      </c>
      <c r="AI379" t="str">
        <f t="shared" si="32"/>
        <v>0-2 yrs</v>
      </c>
      <c r="AJ379" t="str">
        <f t="shared" si="33"/>
        <v>Good</v>
      </c>
      <c r="AK379" t="str">
        <f t="shared" si="34"/>
        <v>Satisfied</v>
      </c>
      <c r="AL379">
        <f t="shared" si="35"/>
        <v>30516</v>
      </c>
    </row>
    <row r="380" spans="1:38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30"/>
        <v>26-35</v>
      </c>
      <c r="AH380" t="str">
        <f t="shared" si="31"/>
        <v>Mid (3-6K)</v>
      </c>
      <c r="AI380" t="str">
        <f t="shared" si="32"/>
        <v>3-5 yrs</v>
      </c>
      <c r="AJ380" t="str">
        <f t="shared" si="33"/>
        <v>Good</v>
      </c>
      <c r="AK380" t="str">
        <f t="shared" si="34"/>
        <v>Very Satisfied</v>
      </c>
      <c r="AL380">
        <f t="shared" si="35"/>
        <v>63648</v>
      </c>
    </row>
    <row r="381" spans="1:38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30"/>
        <v>46+</v>
      </c>
      <c r="AH381" t="str">
        <f t="shared" si="31"/>
        <v>Very High (10K+)</v>
      </c>
      <c r="AI381" t="str">
        <f t="shared" si="32"/>
        <v>3-5 yrs</v>
      </c>
      <c r="AJ381" t="str">
        <f t="shared" si="33"/>
        <v>Good</v>
      </c>
      <c r="AK381" t="str">
        <f t="shared" si="34"/>
        <v>Very Satisfied</v>
      </c>
      <c r="AL381">
        <f t="shared" si="35"/>
        <v>199908</v>
      </c>
    </row>
    <row r="382" spans="1:38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30"/>
        <v>20-25</v>
      </c>
      <c r="AH382" t="str">
        <f t="shared" si="31"/>
        <v>Mid (3-6K)</v>
      </c>
      <c r="AI382" t="str">
        <f t="shared" si="32"/>
        <v>3-5 yrs</v>
      </c>
      <c r="AJ382" t="str">
        <f t="shared" si="33"/>
        <v>Good</v>
      </c>
      <c r="AK382" t="str">
        <f t="shared" si="34"/>
        <v>Satisfied</v>
      </c>
      <c r="AL382">
        <f t="shared" si="35"/>
        <v>51120</v>
      </c>
    </row>
    <row r="383" spans="1:38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30"/>
        <v>26-35</v>
      </c>
      <c r="AH383" t="str">
        <f t="shared" si="31"/>
        <v>Low (0-3K)</v>
      </c>
      <c r="AI383" t="str">
        <f t="shared" si="32"/>
        <v>0-2 yrs</v>
      </c>
      <c r="AJ383" t="str">
        <f t="shared" si="33"/>
        <v>Good</v>
      </c>
      <c r="AK383" t="str">
        <f t="shared" si="34"/>
        <v>Dissatisfied</v>
      </c>
      <c r="AL383">
        <f t="shared" si="35"/>
        <v>29712</v>
      </c>
    </row>
    <row r="384" spans="1:38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30"/>
        <v>26-35</v>
      </c>
      <c r="AH384" t="str">
        <f t="shared" si="31"/>
        <v>Mid (3-6K)</v>
      </c>
      <c r="AI384" t="str">
        <f t="shared" si="32"/>
        <v>6-10 yrs</v>
      </c>
      <c r="AJ384" t="str">
        <f t="shared" si="33"/>
        <v>Excellent</v>
      </c>
      <c r="AK384" t="str">
        <f t="shared" si="34"/>
        <v>Very Dissatisfied</v>
      </c>
      <c r="AL384">
        <f t="shared" si="35"/>
        <v>37224</v>
      </c>
    </row>
    <row r="385" spans="1:38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30"/>
        <v>20-25</v>
      </c>
      <c r="AH385" t="str">
        <f t="shared" si="31"/>
        <v>Low (0-3K)</v>
      </c>
      <c r="AI385" t="str">
        <f t="shared" si="32"/>
        <v>0-2 yrs</v>
      </c>
      <c r="AJ385" t="str">
        <f t="shared" si="33"/>
        <v>Good</v>
      </c>
      <c r="AK385" t="str">
        <f t="shared" si="34"/>
        <v>Dissatisfied</v>
      </c>
      <c r="AL385">
        <f t="shared" si="35"/>
        <v>26928</v>
      </c>
    </row>
    <row r="386" spans="1:38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si="30"/>
        <v>36-45</v>
      </c>
      <c r="AH386" t="str">
        <f t="shared" si="31"/>
        <v>High (6-10K)</v>
      </c>
      <c r="AI386" t="str">
        <f t="shared" si="32"/>
        <v>6-10 yrs</v>
      </c>
      <c r="AJ386" t="str">
        <f t="shared" si="33"/>
        <v>Good</v>
      </c>
      <c r="AK386" t="str">
        <f t="shared" si="34"/>
        <v>Satisfied</v>
      </c>
      <c r="AL386">
        <f t="shared" si="35"/>
        <v>91152</v>
      </c>
    </row>
    <row r="387" spans="1:38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ref="AG387:AG450" si="36">IF(A387&lt;=25,"20-25",IF(A387&lt;=35,"26-35",IF(A387&lt;=45,"36-45","46+")))</f>
        <v>26-35</v>
      </c>
      <c r="AH387" t="str">
        <f t="shared" ref="AH387:AH450" si="37">IF(R387&lt;=3000,"Low (0-3K)",IF(R387&lt;=6000,"Mid (3-6K)",IF(R387&lt;=10000,"High (6-10K)","Very High (10K+)")))</f>
        <v>Low (0-3K)</v>
      </c>
      <c r="AI387" t="str">
        <f t="shared" ref="AI387:AI450" si="38">IF(AC387&lt;=2,"0-2 yrs",IF(AC387&lt;=5,"3-5 yrs",IF(AC387&lt;=10,"6-10 yrs","10+ yrs")))</f>
        <v>0-2 yrs</v>
      </c>
      <c r="AJ387" t="str">
        <f t="shared" ref="AJ387:AJ450" si="39">IF(W387=4,"Excellent",IF(W387=3,"Good",IF(W387=2,"Needs Improvement","Poor")))</f>
        <v>Excellent</v>
      </c>
      <c r="AK387" t="str">
        <f t="shared" ref="AK387:AK450" si="40">IF(P387=4,"Very Satisfied",IF(P387=3,"Satisfied",IF(P387=2,"Dissatisfied","Very Dissatisfied")))</f>
        <v>Very Satisfied</v>
      </c>
      <c r="AL387">
        <f t="shared" ref="AL387:AL450" si="41">R387*12</f>
        <v>27420</v>
      </c>
    </row>
    <row r="388" spans="1:38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36"/>
        <v>36-45</v>
      </c>
      <c r="AH388" t="str">
        <f t="shared" si="37"/>
        <v>Mid (3-6K)</v>
      </c>
      <c r="AI388" t="str">
        <f t="shared" si="38"/>
        <v>10+ yrs</v>
      </c>
      <c r="AJ388" t="str">
        <f t="shared" si="39"/>
        <v>Good</v>
      </c>
      <c r="AK388" t="str">
        <f t="shared" si="40"/>
        <v>Very Dissatisfied</v>
      </c>
      <c r="AL388">
        <f t="shared" si="41"/>
        <v>36408</v>
      </c>
    </row>
    <row r="389" spans="1:38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36"/>
        <v>36-45</v>
      </c>
      <c r="AH389" t="str">
        <f t="shared" si="37"/>
        <v>Mid (3-6K)</v>
      </c>
      <c r="AI389" t="str">
        <f t="shared" si="38"/>
        <v>3-5 yrs</v>
      </c>
      <c r="AJ389" t="str">
        <f t="shared" si="39"/>
        <v>Good</v>
      </c>
      <c r="AK389" t="str">
        <f t="shared" si="40"/>
        <v>Dissatisfied</v>
      </c>
      <c r="AL389">
        <f t="shared" si="41"/>
        <v>68580</v>
      </c>
    </row>
    <row r="390" spans="1:38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36"/>
        <v>36-45</v>
      </c>
      <c r="AH390" t="str">
        <f t="shared" si="37"/>
        <v>Low (0-3K)</v>
      </c>
      <c r="AI390" t="str">
        <f t="shared" si="38"/>
        <v>3-5 yrs</v>
      </c>
      <c r="AJ390" t="str">
        <f t="shared" si="39"/>
        <v>Good</v>
      </c>
      <c r="AK390" t="str">
        <f t="shared" si="40"/>
        <v>Very Dissatisfied</v>
      </c>
      <c r="AL390">
        <f t="shared" si="41"/>
        <v>30912</v>
      </c>
    </row>
    <row r="391" spans="1:38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36"/>
        <v>36-45</v>
      </c>
      <c r="AH391" t="str">
        <f t="shared" si="37"/>
        <v>Mid (3-6K)</v>
      </c>
      <c r="AI391" t="str">
        <f t="shared" si="38"/>
        <v>0-2 yrs</v>
      </c>
      <c r="AJ391" t="str">
        <f t="shared" si="39"/>
        <v>Good</v>
      </c>
      <c r="AK391" t="str">
        <f t="shared" si="40"/>
        <v>Dissatisfied</v>
      </c>
      <c r="AL391">
        <f t="shared" si="41"/>
        <v>50364</v>
      </c>
    </row>
    <row r="392" spans="1:38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36"/>
        <v>36-45</v>
      </c>
      <c r="AH392" t="str">
        <f t="shared" si="37"/>
        <v>Very High (10K+)</v>
      </c>
      <c r="AI392" t="str">
        <f t="shared" si="38"/>
        <v>10+ yrs</v>
      </c>
      <c r="AJ392" t="str">
        <f t="shared" si="39"/>
        <v>Good</v>
      </c>
      <c r="AK392" t="str">
        <f t="shared" si="40"/>
        <v>Dissatisfied</v>
      </c>
      <c r="AL392">
        <f t="shared" si="41"/>
        <v>172032</v>
      </c>
    </row>
    <row r="393" spans="1:38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36"/>
        <v>36-45</v>
      </c>
      <c r="AH393" t="str">
        <f t="shared" si="37"/>
        <v>Mid (3-6K)</v>
      </c>
      <c r="AI393" t="str">
        <f t="shared" si="38"/>
        <v>0-2 yrs</v>
      </c>
      <c r="AJ393" t="str">
        <f t="shared" si="39"/>
        <v>Excellent</v>
      </c>
      <c r="AK393" t="str">
        <f t="shared" si="40"/>
        <v>Satisfied</v>
      </c>
      <c r="AL393">
        <f t="shared" si="41"/>
        <v>41376</v>
      </c>
    </row>
    <row r="394" spans="1:38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36"/>
        <v>46+</v>
      </c>
      <c r="AH394" t="str">
        <f t="shared" si="37"/>
        <v>Very High (10K+)</v>
      </c>
      <c r="AI394" t="str">
        <f t="shared" si="38"/>
        <v>3-5 yrs</v>
      </c>
      <c r="AJ394" t="str">
        <f t="shared" si="39"/>
        <v>Good</v>
      </c>
      <c r="AK394" t="str">
        <f t="shared" si="40"/>
        <v>Very Dissatisfied</v>
      </c>
      <c r="AL394">
        <f t="shared" si="41"/>
        <v>232872</v>
      </c>
    </row>
    <row r="395" spans="1:38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36"/>
        <v>26-35</v>
      </c>
      <c r="AH395" t="str">
        <f t="shared" si="37"/>
        <v>High (6-10K)</v>
      </c>
      <c r="AI395" t="str">
        <f t="shared" si="38"/>
        <v>3-5 yrs</v>
      </c>
      <c r="AJ395" t="str">
        <f t="shared" si="39"/>
        <v>Good</v>
      </c>
      <c r="AK395" t="str">
        <f t="shared" si="40"/>
        <v>Satisfied</v>
      </c>
      <c r="AL395">
        <f t="shared" si="41"/>
        <v>78456</v>
      </c>
    </row>
    <row r="396" spans="1:38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36"/>
        <v>26-35</v>
      </c>
      <c r="AH396" t="str">
        <f t="shared" si="37"/>
        <v>Mid (3-6K)</v>
      </c>
      <c r="AI396" t="str">
        <f t="shared" si="38"/>
        <v>10+ yrs</v>
      </c>
      <c r="AJ396" t="str">
        <f t="shared" si="39"/>
        <v>Good</v>
      </c>
      <c r="AK396" t="str">
        <f t="shared" si="40"/>
        <v>Very Dissatisfied</v>
      </c>
      <c r="AL396">
        <f t="shared" si="41"/>
        <v>51672</v>
      </c>
    </row>
    <row r="397" spans="1:38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36"/>
        <v>36-45</v>
      </c>
      <c r="AH397" t="str">
        <f t="shared" si="37"/>
        <v>Low (0-3K)</v>
      </c>
      <c r="AI397" t="str">
        <f t="shared" si="38"/>
        <v>3-5 yrs</v>
      </c>
      <c r="AJ397" t="str">
        <f t="shared" si="39"/>
        <v>Excellent</v>
      </c>
      <c r="AK397" t="str">
        <f t="shared" si="40"/>
        <v>Very Satisfied</v>
      </c>
      <c r="AL397">
        <f t="shared" si="41"/>
        <v>27096</v>
      </c>
    </row>
    <row r="398" spans="1:38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36"/>
        <v>36-45</v>
      </c>
      <c r="AH398" t="str">
        <f t="shared" si="37"/>
        <v>Mid (3-6K)</v>
      </c>
      <c r="AI398" t="str">
        <f t="shared" si="38"/>
        <v>3-5 yrs</v>
      </c>
      <c r="AJ398" t="str">
        <f t="shared" si="39"/>
        <v>Good</v>
      </c>
      <c r="AK398" t="str">
        <f t="shared" si="40"/>
        <v>Satisfied</v>
      </c>
      <c r="AL398">
        <f t="shared" si="41"/>
        <v>54264</v>
      </c>
    </row>
    <row r="399" spans="1:38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36"/>
        <v>20-25</v>
      </c>
      <c r="AH399" t="str">
        <f t="shared" si="37"/>
        <v>Mid (3-6K)</v>
      </c>
      <c r="AI399" t="str">
        <f t="shared" si="38"/>
        <v>3-5 yrs</v>
      </c>
      <c r="AJ399" t="str">
        <f t="shared" si="39"/>
        <v>Good</v>
      </c>
      <c r="AK399" t="str">
        <f t="shared" si="40"/>
        <v>Very Satisfied</v>
      </c>
      <c r="AL399">
        <f t="shared" si="41"/>
        <v>53844</v>
      </c>
    </row>
    <row r="400" spans="1:38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36"/>
        <v>36-45</v>
      </c>
      <c r="AH400" t="str">
        <f t="shared" si="37"/>
        <v>Mid (3-6K)</v>
      </c>
      <c r="AI400" t="str">
        <f t="shared" si="38"/>
        <v>10+ yrs</v>
      </c>
      <c r="AJ400" t="str">
        <f t="shared" si="39"/>
        <v>Good</v>
      </c>
      <c r="AK400" t="str">
        <f t="shared" si="40"/>
        <v>Satisfied</v>
      </c>
      <c r="AL400">
        <f t="shared" si="41"/>
        <v>53388</v>
      </c>
    </row>
    <row r="401" spans="1:38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36"/>
        <v>26-35</v>
      </c>
      <c r="AH401" t="str">
        <f t="shared" si="37"/>
        <v>Low (0-3K)</v>
      </c>
      <c r="AI401" t="str">
        <f t="shared" si="38"/>
        <v>3-5 yrs</v>
      </c>
      <c r="AJ401" t="str">
        <f t="shared" si="39"/>
        <v>Good</v>
      </c>
      <c r="AK401" t="str">
        <f t="shared" si="40"/>
        <v>Very Dissatisfied</v>
      </c>
      <c r="AL401">
        <f t="shared" si="41"/>
        <v>26616</v>
      </c>
    </row>
    <row r="402" spans="1:38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36"/>
        <v>36-45</v>
      </c>
      <c r="AH402" t="str">
        <f t="shared" si="37"/>
        <v>Very High (10K+)</v>
      </c>
      <c r="AI402" t="str">
        <f t="shared" si="38"/>
        <v>10+ yrs</v>
      </c>
      <c r="AJ402" t="str">
        <f t="shared" si="39"/>
        <v>Good</v>
      </c>
      <c r="AK402" t="str">
        <f t="shared" si="40"/>
        <v>Satisfied</v>
      </c>
      <c r="AL402">
        <f t="shared" si="41"/>
        <v>230364</v>
      </c>
    </row>
    <row r="403" spans="1:38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36"/>
        <v>46+</v>
      </c>
      <c r="AH403" t="str">
        <f t="shared" si="37"/>
        <v>Very High (10K+)</v>
      </c>
      <c r="AI403" t="str">
        <f t="shared" si="38"/>
        <v>6-10 yrs</v>
      </c>
      <c r="AJ403" t="str">
        <f t="shared" si="39"/>
        <v>Good</v>
      </c>
      <c r="AK403" t="str">
        <f t="shared" si="40"/>
        <v>Very Dissatisfied</v>
      </c>
      <c r="AL403">
        <f t="shared" si="41"/>
        <v>158544</v>
      </c>
    </row>
    <row r="404" spans="1:38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36"/>
        <v>26-35</v>
      </c>
      <c r="AH404" t="str">
        <f t="shared" si="37"/>
        <v>High (6-10K)</v>
      </c>
      <c r="AI404" t="str">
        <f t="shared" si="38"/>
        <v>3-5 yrs</v>
      </c>
      <c r="AJ404" t="str">
        <f t="shared" si="39"/>
        <v>Good</v>
      </c>
      <c r="AK404" t="str">
        <f t="shared" si="40"/>
        <v>Satisfied</v>
      </c>
      <c r="AL404">
        <f t="shared" si="41"/>
        <v>78924</v>
      </c>
    </row>
    <row r="405" spans="1:38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36"/>
        <v>36-45</v>
      </c>
      <c r="AH405" t="str">
        <f t="shared" si="37"/>
        <v>High (6-10K)</v>
      </c>
      <c r="AI405" t="str">
        <f t="shared" si="38"/>
        <v>6-10 yrs</v>
      </c>
      <c r="AJ405" t="str">
        <f t="shared" si="39"/>
        <v>Good</v>
      </c>
      <c r="AK405" t="str">
        <f t="shared" si="40"/>
        <v>Very Dissatisfied</v>
      </c>
      <c r="AL405">
        <f t="shared" si="41"/>
        <v>100704</v>
      </c>
    </row>
    <row r="406" spans="1:38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36"/>
        <v>26-35</v>
      </c>
      <c r="AH406" t="str">
        <f t="shared" si="37"/>
        <v>Mid (3-6K)</v>
      </c>
      <c r="AI406" t="str">
        <f t="shared" si="38"/>
        <v>6-10 yrs</v>
      </c>
      <c r="AJ406" t="str">
        <f t="shared" si="39"/>
        <v>Good</v>
      </c>
      <c r="AK406" t="str">
        <f t="shared" si="40"/>
        <v>Very Dissatisfied</v>
      </c>
      <c r="AL406">
        <f t="shared" si="41"/>
        <v>54696</v>
      </c>
    </row>
    <row r="407" spans="1:38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36"/>
        <v>20-25</v>
      </c>
      <c r="AH407" t="str">
        <f t="shared" si="37"/>
        <v>Mid (3-6K)</v>
      </c>
      <c r="AI407" t="str">
        <f t="shared" si="38"/>
        <v>0-2 yrs</v>
      </c>
      <c r="AJ407" t="str">
        <f t="shared" si="39"/>
        <v>Good</v>
      </c>
      <c r="AK407" t="str">
        <f t="shared" si="40"/>
        <v>Very Dissatisfied</v>
      </c>
      <c r="AL407">
        <f t="shared" si="41"/>
        <v>48372</v>
      </c>
    </row>
    <row r="408" spans="1:38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36"/>
        <v>46+</v>
      </c>
      <c r="AH408" t="str">
        <f t="shared" si="37"/>
        <v>High (6-10K)</v>
      </c>
      <c r="AI408" t="str">
        <f t="shared" si="38"/>
        <v>3-5 yrs</v>
      </c>
      <c r="AJ408" t="str">
        <f t="shared" si="39"/>
        <v>Good</v>
      </c>
      <c r="AK408" t="str">
        <f t="shared" si="40"/>
        <v>Satisfied</v>
      </c>
      <c r="AL408">
        <f t="shared" si="41"/>
        <v>95628</v>
      </c>
    </row>
    <row r="409" spans="1:38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36"/>
        <v>36-45</v>
      </c>
      <c r="AH409" t="str">
        <f t="shared" si="37"/>
        <v>Low (0-3K)</v>
      </c>
      <c r="AI409" t="str">
        <f t="shared" si="38"/>
        <v>0-2 yrs</v>
      </c>
      <c r="AJ409" t="str">
        <f t="shared" si="39"/>
        <v>Excellent</v>
      </c>
      <c r="AK409" t="str">
        <f t="shared" si="40"/>
        <v>Very Satisfied</v>
      </c>
      <c r="AL409">
        <f t="shared" si="41"/>
        <v>31848</v>
      </c>
    </row>
    <row r="410" spans="1:38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36"/>
        <v>46+</v>
      </c>
      <c r="AH410" t="str">
        <f t="shared" si="37"/>
        <v>Very High (10K+)</v>
      </c>
      <c r="AI410" t="str">
        <f t="shared" si="38"/>
        <v>3-5 yrs</v>
      </c>
      <c r="AJ410" t="str">
        <f t="shared" si="39"/>
        <v>Good</v>
      </c>
      <c r="AK410" t="str">
        <f t="shared" si="40"/>
        <v>Very Satisfied</v>
      </c>
      <c r="AL410">
        <f t="shared" si="41"/>
        <v>198660</v>
      </c>
    </row>
    <row r="411" spans="1:38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36"/>
        <v>36-45</v>
      </c>
      <c r="AH411" t="str">
        <f t="shared" si="37"/>
        <v>Mid (3-6K)</v>
      </c>
      <c r="AI411" t="str">
        <f t="shared" si="38"/>
        <v>3-5 yrs</v>
      </c>
      <c r="AJ411" t="str">
        <f t="shared" si="39"/>
        <v>Good</v>
      </c>
      <c r="AK411" t="str">
        <f t="shared" si="40"/>
        <v>Satisfied</v>
      </c>
      <c r="AL411">
        <f t="shared" si="41"/>
        <v>54672</v>
      </c>
    </row>
    <row r="412" spans="1:38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36"/>
        <v>26-35</v>
      </c>
      <c r="AH412" t="str">
        <f t="shared" si="37"/>
        <v>High (6-10K)</v>
      </c>
      <c r="AI412" t="str">
        <f t="shared" si="38"/>
        <v>3-5 yrs</v>
      </c>
      <c r="AJ412" t="str">
        <f t="shared" si="39"/>
        <v>Excellent</v>
      </c>
      <c r="AK412" t="str">
        <f t="shared" si="40"/>
        <v>Very Satisfied</v>
      </c>
      <c r="AL412">
        <f t="shared" si="41"/>
        <v>73092</v>
      </c>
    </row>
    <row r="413" spans="1:38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36"/>
        <v>46+</v>
      </c>
      <c r="AH413" t="str">
        <f t="shared" si="37"/>
        <v>Very High (10K+)</v>
      </c>
      <c r="AI413" t="str">
        <f t="shared" si="38"/>
        <v>10+ yrs</v>
      </c>
      <c r="AJ413" t="str">
        <f t="shared" si="39"/>
        <v>Good</v>
      </c>
      <c r="AK413" t="str">
        <f t="shared" si="40"/>
        <v>Very Dissatisfied</v>
      </c>
      <c r="AL413">
        <f t="shared" si="41"/>
        <v>234792</v>
      </c>
    </row>
    <row r="414" spans="1:38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36"/>
        <v>46+</v>
      </c>
      <c r="AH414" t="str">
        <f t="shared" si="37"/>
        <v>Mid (3-6K)</v>
      </c>
      <c r="AI414" t="str">
        <f t="shared" si="38"/>
        <v>6-10 yrs</v>
      </c>
      <c r="AJ414" t="str">
        <f t="shared" si="39"/>
        <v>Good</v>
      </c>
      <c r="AK414" t="str">
        <f t="shared" si="40"/>
        <v>Satisfied</v>
      </c>
      <c r="AL414">
        <f t="shared" si="41"/>
        <v>57720</v>
      </c>
    </row>
    <row r="415" spans="1:38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36"/>
        <v>36-45</v>
      </c>
      <c r="AH415" t="str">
        <f t="shared" si="37"/>
        <v>Mid (3-6K)</v>
      </c>
      <c r="AI415" t="str">
        <f t="shared" si="38"/>
        <v>6-10 yrs</v>
      </c>
      <c r="AJ415" t="str">
        <f t="shared" si="39"/>
        <v>Good</v>
      </c>
      <c r="AK415" t="str">
        <f t="shared" si="40"/>
        <v>Very Satisfied</v>
      </c>
      <c r="AL415">
        <f t="shared" si="41"/>
        <v>54276</v>
      </c>
    </row>
    <row r="416" spans="1:38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36"/>
        <v>20-25</v>
      </c>
      <c r="AH416" t="str">
        <f t="shared" si="37"/>
        <v>Mid (3-6K)</v>
      </c>
      <c r="AI416" t="str">
        <f t="shared" si="38"/>
        <v>3-5 yrs</v>
      </c>
      <c r="AJ416" t="str">
        <f t="shared" si="39"/>
        <v>Good</v>
      </c>
      <c r="AK416" t="str">
        <f t="shared" si="40"/>
        <v>Dissatisfied</v>
      </c>
      <c r="AL416">
        <f t="shared" si="41"/>
        <v>38424</v>
      </c>
    </row>
    <row r="417" spans="1:38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36"/>
        <v>26-35</v>
      </c>
      <c r="AH417" t="str">
        <f t="shared" si="37"/>
        <v>Low (0-3K)</v>
      </c>
      <c r="AI417" t="str">
        <f t="shared" si="38"/>
        <v>0-2 yrs</v>
      </c>
      <c r="AJ417" t="str">
        <f t="shared" si="39"/>
        <v>Good</v>
      </c>
      <c r="AK417" t="str">
        <f t="shared" si="40"/>
        <v>Satisfied</v>
      </c>
      <c r="AL417">
        <f t="shared" si="41"/>
        <v>28212</v>
      </c>
    </row>
    <row r="418" spans="1:38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36"/>
        <v>36-45</v>
      </c>
      <c r="AH418" t="str">
        <f t="shared" si="37"/>
        <v>Low (0-3K)</v>
      </c>
      <c r="AI418" t="str">
        <f t="shared" si="38"/>
        <v>0-2 yrs</v>
      </c>
      <c r="AJ418" t="str">
        <f t="shared" si="39"/>
        <v>Excellent</v>
      </c>
      <c r="AK418" t="str">
        <f t="shared" si="40"/>
        <v>Very Satisfied</v>
      </c>
      <c r="AL418">
        <f t="shared" si="41"/>
        <v>20424</v>
      </c>
    </row>
    <row r="419" spans="1:38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36"/>
        <v>36-45</v>
      </c>
      <c r="AH419" t="str">
        <f t="shared" si="37"/>
        <v>Very High (10K+)</v>
      </c>
      <c r="AI419" t="str">
        <f t="shared" si="38"/>
        <v>10+ yrs</v>
      </c>
      <c r="AJ419" t="str">
        <f t="shared" si="39"/>
        <v>Good</v>
      </c>
      <c r="AK419" t="str">
        <f t="shared" si="40"/>
        <v>Satisfied</v>
      </c>
      <c r="AL419">
        <f t="shared" si="41"/>
        <v>216492</v>
      </c>
    </row>
    <row r="420" spans="1:38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36"/>
        <v>26-35</v>
      </c>
      <c r="AH420" t="str">
        <f t="shared" si="37"/>
        <v>Low (0-3K)</v>
      </c>
      <c r="AI420" t="str">
        <f t="shared" si="38"/>
        <v>3-5 yrs</v>
      </c>
      <c r="AJ420" t="str">
        <f t="shared" si="39"/>
        <v>Excellent</v>
      </c>
      <c r="AK420" t="str">
        <f t="shared" si="40"/>
        <v>Very Satisfied</v>
      </c>
      <c r="AL420">
        <f t="shared" si="41"/>
        <v>34632</v>
      </c>
    </row>
    <row r="421" spans="1:38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36"/>
        <v>26-35</v>
      </c>
      <c r="AH421" t="str">
        <f t="shared" si="37"/>
        <v>Low (0-3K)</v>
      </c>
      <c r="AI421" t="str">
        <f t="shared" si="38"/>
        <v>3-5 yrs</v>
      </c>
      <c r="AJ421" t="str">
        <f t="shared" si="39"/>
        <v>Good</v>
      </c>
      <c r="AK421" t="str">
        <f t="shared" si="40"/>
        <v>Very Satisfied</v>
      </c>
      <c r="AL421">
        <f t="shared" si="41"/>
        <v>25164</v>
      </c>
    </row>
    <row r="422" spans="1:38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36"/>
        <v>26-35</v>
      </c>
      <c r="AH422" t="str">
        <f t="shared" si="37"/>
        <v>Very High (10K+)</v>
      </c>
      <c r="AI422" t="str">
        <f t="shared" si="38"/>
        <v>6-10 yrs</v>
      </c>
      <c r="AJ422" t="str">
        <f t="shared" si="39"/>
        <v>Good</v>
      </c>
      <c r="AK422" t="str">
        <f t="shared" si="40"/>
        <v>Satisfied</v>
      </c>
      <c r="AL422">
        <f t="shared" si="41"/>
        <v>143220</v>
      </c>
    </row>
    <row r="423" spans="1:38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36"/>
        <v>26-35</v>
      </c>
      <c r="AH423" t="str">
        <f t="shared" si="37"/>
        <v>Low (0-3K)</v>
      </c>
      <c r="AI423" t="str">
        <f t="shared" si="38"/>
        <v>0-2 yrs</v>
      </c>
      <c r="AJ423" t="str">
        <f t="shared" si="39"/>
        <v>Good</v>
      </c>
      <c r="AK423" t="str">
        <f t="shared" si="40"/>
        <v>Dissatisfied</v>
      </c>
      <c r="AL423">
        <f t="shared" si="41"/>
        <v>30552</v>
      </c>
    </row>
    <row r="424" spans="1:38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36"/>
        <v>20-25</v>
      </c>
      <c r="AH424" t="str">
        <f t="shared" si="37"/>
        <v>Low (0-3K)</v>
      </c>
      <c r="AI424" t="str">
        <f t="shared" si="38"/>
        <v>0-2 yrs</v>
      </c>
      <c r="AJ424" t="str">
        <f t="shared" si="39"/>
        <v>Good</v>
      </c>
      <c r="AK424" t="str">
        <f t="shared" si="40"/>
        <v>Very Satisfied</v>
      </c>
      <c r="AL424">
        <f t="shared" si="41"/>
        <v>30768</v>
      </c>
    </row>
    <row r="425" spans="1:38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36"/>
        <v>26-35</v>
      </c>
      <c r="AH425" t="str">
        <f t="shared" si="37"/>
        <v>High (6-10K)</v>
      </c>
      <c r="AI425" t="str">
        <f t="shared" si="38"/>
        <v>6-10 yrs</v>
      </c>
      <c r="AJ425" t="str">
        <f t="shared" si="39"/>
        <v>Good</v>
      </c>
      <c r="AK425" t="str">
        <f t="shared" si="40"/>
        <v>Very Dissatisfied</v>
      </c>
      <c r="AL425">
        <f t="shared" si="41"/>
        <v>100944</v>
      </c>
    </row>
    <row r="426" spans="1:38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36"/>
        <v>46+</v>
      </c>
      <c r="AH426" t="str">
        <f t="shared" si="37"/>
        <v>Very High (10K+)</v>
      </c>
      <c r="AI426" t="str">
        <f t="shared" si="38"/>
        <v>0-2 yrs</v>
      </c>
      <c r="AJ426" t="str">
        <f t="shared" si="39"/>
        <v>Good</v>
      </c>
      <c r="AK426" t="str">
        <f t="shared" si="40"/>
        <v>Very Satisfied</v>
      </c>
      <c r="AL426">
        <f t="shared" si="41"/>
        <v>169416</v>
      </c>
    </row>
    <row r="427" spans="1:38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36"/>
        <v>46+</v>
      </c>
      <c r="AH427" t="str">
        <f t="shared" si="37"/>
        <v>Very High (10K+)</v>
      </c>
      <c r="AI427" t="str">
        <f t="shared" si="38"/>
        <v>10+ yrs</v>
      </c>
      <c r="AJ427" t="str">
        <f t="shared" si="39"/>
        <v>Good</v>
      </c>
      <c r="AK427" t="str">
        <f t="shared" si="40"/>
        <v>Satisfied</v>
      </c>
      <c r="AL427">
        <f t="shared" si="41"/>
        <v>204552</v>
      </c>
    </row>
    <row r="428" spans="1:38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36"/>
        <v>26-35</v>
      </c>
      <c r="AH428" t="str">
        <f t="shared" si="37"/>
        <v>Low (0-3K)</v>
      </c>
      <c r="AI428" t="str">
        <f t="shared" si="38"/>
        <v>10+ yrs</v>
      </c>
      <c r="AJ428" t="str">
        <f t="shared" si="39"/>
        <v>Good</v>
      </c>
      <c r="AK428" t="str">
        <f t="shared" si="40"/>
        <v>Very Satisfied</v>
      </c>
      <c r="AL428">
        <f t="shared" si="41"/>
        <v>30768</v>
      </c>
    </row>
    <row r="429" spans="1:38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36"/>
        <v>46+</v>
      </c>
      <c r="AH429" t="str">
        <f t="shared" si="37"/>
        <v>Very High (10K+)</v>
      </c>
      <c r="AI429" t="str">
        <f t="shared" si="38"/>
        <v>10+ yrs</v>
      </c>
      <c r="AJ429" t="str">
        <f t="shared" si="39"/>
        <v>Good</v>
      </c>
      <c r="AK429" t="str">
        <f t="shared" si="40"/>
        <v>Very Dissatisfied</v>
      </c>
      <c r="AL429">
        <f t="shared" si="41"/>
        <v>123192</v>
      </c>
    </row>
    <row r="430" spans="1:38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36"/>
        <v>46+</v>
      </c>
      <c r="AH430" t="str">
        <f t="shared" si="37"/>
        <v>Mid (3-6K)</v>
      </c>
      <c r="AI430" t="str">
        <f t="shared" si="38"/>
        <v>3-5 yrs</v>
      </c>
      <c r="AJ430" t="str">
        <f t="shared" si="39"/>
        <v>Good</v>
      </c>
      <c r="AK430" t="str">
        <f t="shared" si="40"/>
        <v>Very Satisfied</v>
      </c>
      <c r="AL430">
        <f t="shared" si="41"/>
        <v>60840</v>
      </c>
    </row>
    <row r="431" spans="1:38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36"/>
        <v>46+</v>
      </c>
      <c r="AH431" t="str">
        <f t="shared" si="37"/>
        <v>Very High (10K+)</v>
      </c>
      <c r="AI431" t="str">
        <f t="shared" si="38"/>
        <v>3-5 yrs</v>
      </c>
      <c r="AJ431" t="str">
        <f t="shared" si="39"/>
        <v>Good</v>
      </c>
      <c r="AK431" t="str">
        <f t="shared" si="40"/>
        <v>Satisfied</v>
      </c>
      <c r="AL431">
        <f t="shared" si="41"/>
        <v>214332</v>
      </c>
    </row>
    <row r="432" spans="1:38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36"/>
        <v>26-35</v>
      </c>
      <c r="AH432" t="str">
        <f t="shared" si="37"/>
        <v>Mid (3-6K)</v>
      </c>
      <c r="AI432" t="str">
        <f t="shared" si="38"/>
        <v>3-5 yrs</v>
      </c>
      <c r="AJ432" t="str">
        <f t="shared" si="39"/>
        <v>Good</v>
      </c>
      <c r="AK432" t="str">
        <f t="shared" si="40"/>
        <v>Satisfied</v>
      </c>
      <c r="AL432">
        <f t="shared" si="41"/>
        <v>50760</v>
      </c>
    </row>
    <row r="433" spans="1:38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36"/>
        <v>46+</v>
      </c>
      <c r="AH433" t="str">
        <f t="shared" si="37"/>
        <v>Mid (3-6K)</v>
      </c>
      <c r="AI433" t="str">
        <f t="shared" si="38"/>
        <v>0-2 yrs</v>
      </c>
      <c r="AJ433" t="str">
        <f t="shared" si="39"/>
        <v>Good</v>
      </c>
      <c r="AK433" t="str">
        <f t="shared" si="40"/>
        <v>Satisfied</v>
      </c>
      <c r="AL433">
        <f t="shared" si="41"/>
        <v>45360</v>
      </c>
    </row>
    <row r="434" spans="1:38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36"/>
        <v>26-35</v>
      </c>
      <c r="AH434" t="str">
        <f t="shared" si="37"/>
        <v>Low (0-3K)</v>
      </c>
      <c r="AI434" t="str">
        <f t="shared" si="38"/>
        <v>6-10 yrs</v>
      </c>
      <c r="AJ434" t="str">
        <f t="shared" si="39"/>
        <v>Good</v>
      </c>
      <c r="AK434" t="str">
        <f t="shared" si="40"/>
        <v>Satisfied</v>
      </c>
      <c r="AL434">
        <f t="shared" si="41"/>
        <v>33216</v>
      </c>
    </row>
    <row r="435" spans="1:38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36"/>
        <v>46+</v>
      </c>
      <c r="AH435" t="str">
        <f t="shared" si="37"/>
        <v>High (6-10K)</v>
      </c>
      <c r="AI435" t="str">
        <f t="shared" si="38"/>
        <v>3-5 yrs</v>
      </c>
      <c r="AJ435" t="str">
        <f t="shared" si="39"/>
        <v>Good</v>
      </c>
      <c r="AK435" t="str">
        <f t="shared" si="40"/>
        <v>Very Satisfied</v>
      </c>
      <c r="AL435">
        <f t="shared" si="41"/>
        <v>108852</v>
      </c>
    </row>
    <row r="436" spans="1:38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36"/>
        <v>26-35</v>
      </c>
      <c r="AH436" t="str">
        <f t="shared" si="37"/>
        <v>Very High (10K+)</v>
      </c>
      <c r="AI436" t="str">
        <f t="shared" si="38"/>
        <v>10+ yrs</v>
      </c>
      <c r="AJ436" t="str">
        <f t="shared" si="39"/>
        <v>Excellent</v>
      </c>
      <c r="AK436" t="str">
        <f t="shared" si="40"/>
        <v>Dissatisfied</v>
      </c>
      <c r="AL436">
        <f t="shared" si="41"/>
        <v>127776</v>
      </c>
    </row>
    <row r="437" spans="1:38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36"/>
        <v>26-35</v>
      </c>
      <c r="AH437" t="str">
        <f t="shared" si="37"/>
        <v>Very High (10K+)</v>
      </c>
      <c r="AI437" t="str">
        <f t="shared" si="38"/>
        <v>6-10 yrs</v>
      </c>
      <c r="AJ437" t="str">
        <f t="shared" si="39"/>
        <v>Good</v>
      </c>
      <c r="AK437" t="str">
        <f t="shared" si="40"/>
        <v>Satisfied</v>
      </c>
      <c r="AL437">
        <f t="shared" si="41"/>
        <v>163320</v>
      </c>
    </row>
    <row r="438" spans="1:38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36"/>
        <v>26-35</v>
      </c>
      <c r="AH438" t="str">
        <f t="shared" si="37"/>
        <v>Mid (3-6K)</v>
      </c>
      <c r="AI438" t="str">
        <f t="shared" si="38"/>
        <v>3-5 yrs</v>
      </c>
      <c r="AJ438" t="str">
        <f t="shared" si="39"/>
        <v>Good</v>
      </c>
      <c r="AK438" t="str">
        <f t="shared" si="40"/>
        <v>Very Satisfied</v>
      </c>
      <c r="AL438">
        <f t="shared" si="41"/>
        <v>40896</v>
      </c>
    </row>
    <row r="439" spans="1:38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36"/>
        <v>26-35</v>
      </c>
      <c r="AH439" t="str">
        <f t="shared" si="37"/>
        <v>Low (0-3K)</v>
      </c>
      <c r="AI439" t="str">
        <f t="shared" si="38"/>
        <v>3-5 yrs</v>
      </c>
      <c r="AJ439" t="str">
        <f t="shared" si="39"/>
        <v>Good</v>
      </c>
      <c r="AK439" t="str">
        <f t="shared" si="40"/>
        <v>Dissatisfied</v>
      </c>
      <c r="AL439">
        <f t="shared" si="41"/>
        <v>35796</v>
      </c>
    </row>
    <row r="440" spans="1:38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36"/>
        <v>26-35</v>
      </c>
      <c r="AH440" t="str">
        <f t="shared" si="37"/>
        <v>High (6-10K)</v>
      </c>
      <c r="AI440" t="str">
        <f t="shared" si="38"/>
        <v>6-10 yrs</v>
      </c>
      <c r="AJ440" t="str">
        <f t="shared" si="39"/>
        <v>Good</v>
      </c>
      <c r="AK440" t="str">
        <f t="shared" si="40"/>
        <v>Satisfied</v>
      </c>
      <c r="AL440">
        <f t="shared" si="41"/>
        <v>91584</v>
      </c>
    </row>
    <row r="441" spans="1:38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36"/>
        <v>26-35</v>
      </c>
      <c r="AH441" t="str">
        <f t="shared" si="37"/>
        <v>High (6-10K)</v>
      </c>
      <c r="AI441" t="str">
        <f t="shared" si="38"/>
        <v>0-2 yrs</v>
      </c>
      <c r="AJ441" t="str">
        <f t="shared" si="39"/>
        <v>Good</v>
      </c>
      <c r="AK441" t="str">
        <f t="shared" si="40"/>
        <v>Satisfied</v>
      </c>
      <c r="AL441">
        <f t="shared" si="41"/>
        <v>117888</v>
      </c>
    </row>
    <row r="442" spans="1:38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36"/>
        <v>26-35</v>
      </c>
      <c r="AH442" t="str">
        <f t="shared" si="37"/>
        <v>High (6-10K)</v>
      </c>
      <c r="AI442" t="str">
        <f t="shared" si="38"/>
        <v>3-5 yrs</v>
      </c>
      <c r="AJ442" t="str">
        <f t="shared" si="39"/>
        <v>Good</v>
      </c>
      <c r="AK442" t="str">
        <f t="shared" si="40"/>
        <v>Very Dissatisfied</v>
      </c>
      <c r="AL442">
        <f t="shared" si="41"/>
        <v>119400</v>
      </c>
    </row>
    <row r="443" spans="1:38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36"/>
        <v>36-45</v>
      </c>
      <c r="AH443" t="str">
        <f t="shared" si="37"/>
        <v>Low (0-3K)</v>
      </c>
      <c r="AI443" t="str">
        <f t="shared" si="38"/>
        <v>0-2 yrs</v>
      </c>
      <c r="AJ443" t="str">
        <f t="shared" si="39"/>
        <v>Good</v>
      </c>
      <c r="AK443" t="str">
        <f t="shared" si="40"/>
        <v>Satisfied</v>
      </c>
      <c r="AL443">
        <f t="shared" si="41"/>
        <v>25116</v>
      </c>
    </row>
    <row r="444" spans="1:38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36"/>
        <v>36-45</v>
      </c>
      <c r="AH444" t="str">
        <f t="shared" si="37"/>
        <v>High (6-10K)</v>
      </c>
      <c r="AI444" t="str">
        <f t="shared" si="38"/>
        <v>6-10 yrs</v>
      </c>
      <c r="AJ444" t="str">
        <f t="shared" si="39"/>
        <v>Good</v>
      </c>
      <c r="AK444" t="str">
        <f t="shared" si="40"/>
        <v>Very Satisfied</v>
      </c>
      <c r="AL444">
        <f t="shared" si="41"/>
        <v>119760</v>
      </c>
    </row>
    <row r="445" spans="1:38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36"/>
        <v>20-25</v>
      </c>
      <c r="AH445" t="str">
        <f t="shared" si="37"/>
        <v>Mid (3-6K)</v>
      </c>
      <c r="AI445" t="str">
        <f t="shared" si="38"/>
        <v>0-2 yrs</v>
      </c>
      <c r="AJ445" t="str">
        <f t="shared" si="39"/>
        <v>Good</v>
      </c>
      <c r="AK445" t="str">
        <f t="shared" si="40"/>
        <v>Satisfied</v>
      </c>
      <c r="AL445">
        <f t="shared" si="41"/>
        <v>46728</v>
      </c>
    </row>
    <row r="446" spans="1:38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36"/>
        <v>46+</v>
      </c>
      <c r="AH446" t="str">
        <f t="shared" si="37"/>
        <v>Mid (3-6K)</v>
      </c>
      <c r="AI446" t="str">
        <f t="shared" si="38"/>
        <v>6-10 yrs</v>
      </c>
      <c r="AJ446" t="str">
        <f t="shared" si="39"/>
        <v>Good</v>
      </c>
      <c r="AK446" t="str">
        <f t="shared" si="40"/>
        <v>Very Satisfied</v>
      </c>
      <c r="AL446">
        <f t="shared" si="41"/>
        <v>48612</v>
      </c>
    </row>
    <row r="447" spans="1:38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36"/>
        <v>46+</v>
      </c>
      <c r="AH447" t="str">
        <f t="shared" si="37"/>
        <v>Very High (10K+)</v>
      </c>
      <c r="AI447" t="str">
        <f t="shared" si="38"/>
        <v>6-10 yrs</v>
      </c>
      <c r="AJ447" t="str">
        <f t="shared" si="39"/>
        <v>Excellent</v>
      </c>
      <c r="AK447" t="str">
        <f t="shared" si="40"/>
        <v>Dissatisfied</v>
      </c>
      <c r="AL447">
        <f t="shared" si="41"/>
        <v>202020</v>
      </c>
    </row>
    <row r="448" spans="1:38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36"/>
        <v>36-45</v>
      </c>
      <c r="AH448" t="str">
        <f t="shared" si="37"/>
        <v>High (6-10K)</v>
      </c>
      <c r="AI448" t="str">
        <f t="shared" si="38"/>
        <v>10+ yrs</v>
      </c>
      <c r="AJ448" t="str">
        <f t="shared" si="39"/>
        <v>Good</v>
      </c>
      <c r="AK448" t="str">
        <f t="shared" si="40"/>
        <v>Very Satisfied</v>
      </c>
      <c r="AL448">
        <f t="shared" si="41"/>
        <v>74760</v>
      </c>
    </row>
    <row r="449" spans="1:38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36"/>
        <v>26-35</v>
      </c>
      <c r="AH449" t="str">
        <f t="shared" si="37"/>
        <v>Mid (3-6K)</v>
      </c>
      <c r="AI449" t="str">
        <f t="shared" si="38"/>
        <v>10+ yrs</v>
      </c>
      <c r="AJ449" t="str">
        <f t="shared" si="39"/>
        <v>Good</v>
      </c>
      <c r="AK449" t="str">
        <f t="shared" si="40"/>
        <v>Satisfied</v>
      </c>
      <c r="AL449">
        <f t="shared" si="41"/>
        <v>56604</v>
      </c>
    </row>
    <row r="450" spans="1:38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si="36"/>
        <v>36-45</v>
      </c>
      <c r="AH450" t="str">
        <f t="shared" si="37"/>
        <v>Very High (10K+)</v>
      </c>
      <c r="AI450" t="str">
        <f t="shared" si="38"/>
        <v>10+ yrs</v>
      </c>
      <c r="AJ450" t="str">
        <f t="shared" si="39"/>
        <v>Good</v>
      </c>
      <c r="AK450" t="str">
        <f t="shared" si="40"/>
        <v>Satisfied</v>
      </c>
      <c r="AL450">
        <f t="shared" si="41"/>
        <v>158844</v>
      </c>
    </row>
    <row r="451" spans="1:38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ref="AG451:AG514" si="42">IF(A451&lt;=25,"20-25",IF(A451&lt;=35,"26-35",IF(A451&lt;=45,"36-45","46+")))</f>
        <v>36-45</v>
      </c>
      <c r="AH451" t="str">
        <f t="shared" ref="AH451:AH514" si="43">IF(R451&lt;=3000,"Low (0-3K)",IF(R451&lt;=6000,"Mid (3-6K)",IF(R451&lt;=10000,"High (6-10K)","Very High (10K+)")))</f>
        <v>Mid (3-6K)</v>
      </c>
      <c r="AI451" t="str">
        <f t="shared" ref="AI451:AI514" si="44">IF(AC451&lt;=2,"0-2 yrs",IF(AC451&lt;=5,"3-5 yrs",IF(AC451&lt;=10,"6-10 yrs","10+ yrs")))</f>
        <v>6-10 yrs</v>
      </c>
      <c r="AJ451" t="str">
        <f t="shared" ref="AJ451:AJ514" si="45">IF(W451=4,"Excellent",IF(W451=3,"Good",IF(W451=2,"Needs Improvement","Poor")))</f>
        <v>Good</v>
      </c>
      <c r="AK451" t="str">
        <f t="shared" ref="AK451:AK514" si="46">IF(P451=4,"Very Satisfied",IF(P451=3,"Satisfied",IF(P451=2,"Dissatisfied","Very Dissatisfied")))</f>
        <v>Satisfied</v>
      </c>
      <c r="AL451">
        <f t="shared" ref="AL451:AL514" si="47">R451*12</f>
        <v>45060</v>
      </c>
    </row>
    <row r="452" spans="1:38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42"/>
        <v>26-35</v>
      </c>
      <c r="AH452" t="str">
        <f t="shared" si="43"/>
        <v>High (6-10K)</v>
      </c>
      <c r="AI452" t="str">
        <f t="shared" si="44"/>
        <v>6-10 yrs</v>
      </c>
      <c r="AJ452" t="str">
        <f t="shared" si="45"/>
        <v>Good</v>
      </c>
      <c r="AK452" t="str">
        <f t="shared" si="46"/>
        <v>Very Satisfied</v>
      </c>
      <c r="AL452">
        <f t="shared" si="47"/>
        <v>78984</v>
      </c>
    </row>
    <row r="453" spans="1:38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42"/>
        <v>36-45</v>
      </c>
      <c r="AH453" t="str">
        <f t="shared" si="43"/>
        <v>High (6-10K)</v>
      </c>
      <c r="AI453" t="str">
        <f t="shared" si="44"/>
        <v>6-10 yrs</v>
      </c>
      <c r="AJ453" t="str">
        <f t="shared" si="45"/>
        <v>Excellent</v>
      </c>
      <c r="AK453" t="str">
        <f t="shared" si="46"/>
        <v>Very Dissatisfied</v>
      </c>
      <c r="AL453">
        <f t="shared" si="47"/>
        <v>88872</v>
      </c>
    </row>
    <row r="454" spans="1:38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42"/>
        <v>36-45</v>
      </c>
      <c r="AH454" t="str">
        <f t="shared" si="43"/>
        <v>Mid (3-6K)</v>
      </c>
      <c r="AI454" t="str">
        <f t="shared" si="44"/>
        <v>6-10 yrs</v>
      </c>
      <c r="AJ454" t="str">
        <f t="shared" si="45"/>
        <v>Good</v>
      </c>
      <c r="AK454" t="str">
        <f t="shared" si="46"/>
        <v>Dissatisfied</v>
      </c>
      <c r="AL454">
        <f t="shared" si="47"/>
        <v>57660</v>
      </c>
    </row>
    <row r="455" spans="1:38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42"/>
        <v>26-35</v>
      </c>
      <c r="AH455" t="str">
        <f t="shared" si="43"/>
        <v>Low (0-3K)</v>
      </c>
      <c r="AI455" t="str">
        <f t="shared" si="44"/>
        <v>6-10 yrs</v>
      </c>
      <c r="AJ455" t="str">
        <f t="shared" si="45"/>
        <v>Good</v>
      </c>
      <c r="AK455" t="str">
        <f t="shared" si="46"/>
        <v>Satisfied</v>
      </c>
      <c r="AL455">
        <f t="shared" si="47"/>
        <v>32892</v>
      </c>
    </row>
    <row r="456" spans="1:38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42"/>
        <v>26-35</v>
      </c>
      <c r="AH456" t="str">
        <f t="shared" si="43"/>
        <v>Mid (3-6K)</v>
      </c>
      <c r="AI456" t="str">
        <f t="shared" si="44"/>
        <v>3-5 yrs</v>
      </c>
      <c r="AJ456" t="str">
        <f t="shared" si="45"/>
        <v>Good</v>
      </c>
      <c r="AK456" t="str">
        <f t="shared" si="46"/>
        <v>Very Satisfied</v>
      </c>
      <c r="AL456">
        <f t="shared" si="47"/>
        <v>51144</v>
      </c>
    </row>
    <row r="457" spans="1:38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42"/>
        <v>26-35</v>
      </c>
      <c r="AH457" t="str">
        <f t="shared" si="43"/>
        <v>Very High (10K+)</v>
      </c>
      <c r="AI457" t="str">
        <f t="shared" si="44"/>
        <v>6-10 yrs</v>
      </c>
      <c r="AJ457" t="str">
        <f t="shared" si="45"/>
        <v>Good</v>
      </c>
      <c r="AK457" t="str">
        <f t="shared" si="46"/>
        <v>Satisfied</v>
      </c>
      <c r="AL457">
        <f t="shared" si="47"/>
        <v>194208</v>
      </c>
    </row>
    <row r="458" spans="1:38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42"/>
        <v>26-35</v>
      </c>
      <c r="AH458" t="str">
        <f t="shared" si="43"/>
        <v>Very High (10K+)</v>
      </c>
      <c r="AI458" t="str">
        <f t="shared" si="44"/>
        <v>3-5 yrs</v>
      </c>
      <c r="AJ458" t="str">
        <f t="shared" si="45"/>
        <v>Excellent</v>
      </c>
      <c r="AK458" t="str">
        <f t="shared" si="46"/>
        <v>Very Satisfied</v>
      </c>
      <c r="AL458">
        <f t="shared" si="47"/>
        <v>138684</v>
      </c>
    </row>
    <row r="459" spans="1:38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42"/>
        <v>20-25</v>
      </c>
      <c r="AH459" t="str">
        <f t="shared" si="43"/>
        <v>Low (0-3K)</v>
      </c>
      <c r="AI459" t="str">
        <f t="shared" si="44"/>
        <v>0-2 yrs</v>
      </c>
      <c r="AJ459" t="str">
        <f t="shared" si="45"/>
        <v>Good</v>
      </c>
      <c r="AK459" t="str">
        <f t="shared" si="46"/>
        <v>Dissatisfied</v>
      </c>
      <c r="AL459">
        <f t="shared" si="47"/>
        <v>22536</v>
      </c>
    </row>
    <row r="460" spans="1:38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42"/>
        <v>36-45</v>
      </c>
      <c r="AH460" t="str">
        <f t="shared" si="43"/>
        <v>Very High (10K+)</v>
      </c>
      <c r="AI460" t="str">
        <f t="shared" si="44"/>
        <v>0-2 yrs</v>
      </c>
      <c r="AJ460" t="str">
        <f t="shared" si="45"/>
        <v>Good</v>
      </c>
      <c r="AK460" t="str">
        <f t="shared" si="46"/>
        <v>Very Dissatisfied</v>
      </c>
      <c r="AL460">
        <f t="shared" si="47"/>
        <v>131184</v>
      </c>
    </row>
    <row r="461" spans="1:38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42"/>
        <v>36-45</v>
      </c>
      <c r="AH461" t="str">
        <f t="shared" si="43"/>
        <v>High (6-10K)</v>
      </c>
      <c r="AI461" t="str">
        <f t="shared" si="44"/>
        <v>6-10 yrs</v>
      </c>
      <c r="AJ461" t="str">
        <f t="shared" si="45"/>
        <v>Good</v>
      </c>
      <c r="AK461" t="str">
        <f t="shared" si="46"/>
        <v>Satisfied</v>
      </c>
      <c r="AL461">
        <f t="shared" si="47"/>
        <v>81732</v>
      </c>
    </row>
    <row r="462" spans="1:38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42"/>
        <v>26-35</v>
      </c>
      <c r="AH462" t="str">
        <f t="shared" si="43"/>
        <v>Mid (3-6K)</v>
      </c>
      <c r="AI462" t="str">
        <f t="shared" si="44"/>
        <v>0-2 yrs</v>
      </c>
      <c r="AJ462" t="str">
        <f t="shared" si="45"/>
        <v>Good</v>
      </c>
      <c r="AK462" t="str">
        <f t="shared" si="46"/>
        <v>Satisfied</v>
      </c>
      <c r="AL462">
        <f t="shared" si="47"/>
        <v>51672</v>
      </c>
    </row>
    <row r="463" spans="1:38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42"/>
        <v>26-35</v>
      </c>
      <c r="AH463" t="str">
        <f t="shared" si="43"/>
        <v>Mid (3-6K)</v>
      </c>
      <c r="AI463" t="str">
        <f t="shared" si="44"/>
        <v>3-5 yrs</v>
      </c>
      <c r="AJ463" t="str">
        <f t="shared" si="45"/>
        <v>Good</v>
      </c>
      <c r="AK463" t="str">
        <f t="shared" si="46"/>
        <v>Satisfied</v>
      </c>
      <c r="AL463">
        <f t="shared" si="47"/>
        <v>58308</v>
      </c>
    </row>
    <row r="464" spans="1:38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42"/>
        <v>26-35</v>
      </c>
      <c r="AH464" t="str">
        <f t="shared" si="43"/>
        <v>Mid (3-6K)</v>
      </c>
      <c r="AI464" t="str">
        <f t="shared" si="44"/>
        <v>6-10 yrs</v>
      </c>
      <c r="AJ464" t="str">
        <f t="shared" si="45"/>
        <v>Good</v>
      </c>
      <c r="AK464" t="str">
        <f t="shared" si="46"/>
        <v>Very Satisfied</v>
      </c>
      <c r="AL464">
        <f t="shared" si="47"/>
        <v>64044</v>
      </c>
    </row>
    <row r="465" spans="1:38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42"/>
        <v>26-35</v>
      </c>
      <c r="AH465" t="str">
        <f t="shared" si="43"/>
        <v>Low (0-3K)</v>
      </c>
      <c r="AI465" t="str">
        <f t="shared" si="44"/>
        <v>0-2 yrs</v>
      </c>
      <c r="AJ465" t="str">
        <f t="shared" si="45"/>
        <v>Good</v>
      </c>
      <c r="AK465" t="str">
        <f t="shared" si="46"/>
        <v>Very Satisfied</v>
      </c>
      <c r="AL465">
        <f t="shared" si="47"/>
        <v>28080</v>
      </c>
    </row>
    <row r="466" spans="1:38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42"/>
        <v>36-45</v>
      </c>
      <c r="AH466" t="str">
        <f t="shared" si="43"/>
        <v>High (6-10K)</v>
      </c>
      <c r="AI466" t="str">
        <f t="shared" si="44"/>
        <v>6-10 yrs</v>
      </c>
      <c r="AJ466" t="str">
        <f t="shared" si="45"/>
        <v>Good</v>
      </c>
      <c r="AK466" t="str">
        <f t="shared" si="46"/>
        <v>Very Satisfied</v>
      </c>
      <c r="AL466">
        <f t="shared" si="47"/>
        <v>89892</v>
      </c>
    </row>
    <row r="467" spans="1:38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42"/>
        <v>46+</v>
      </c>
      <c r="AH467" t="str">
        <f t="shared" si="43"/>
        <v>Very High (10K+)</v>
      </c>
      <c r="AI467" t="str">
        <f t="shared" si="44"/>
        <v>0-2 yrs</v>
      </c>
      <c r="AJ467" t="str">
        <f t="shared" si="45"/>
        <v>Good</v>
      </c>
      <c r="AK467" t="str">
        <f t="shared" si="46"/>
        <v>Satisfied</v>
      </c>
      <c r="AL467">
        <f t="shared" si="47"/>
        <v>126324</v>
      </c>
    </row>
    <row r="468" spans="1:38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42"/>
        <v>36-45</v>
      </c>
      <c r="AH468" t="str">
        <f t="shared" si="43"/>
        <v>Very High (10K+)</v>
      </c>
      <c r="AI468" t="str">
        <f t="shared" si="44"/>
        <v>10+ yrs</v>
      </c>
      <c r="AJ468" t="str">
        <f t="shared" si="45"/>
        <v>Good</v>
      </c>
      <c r="AK468" t="str">
        <f t="shared" si="46"/>
        <v>Very Dissatisfied</v>
      </c>
      <c r="AL468">
        <f t="shared" si="47"/>
        <v>199140</v>
      </c>
    </row>
    <row r="469" spans="1:38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42"/>
        <v>36-45</v>
      </c>
      <c r="AH469" t="str">
        <f t="shared" si="43"/>
        <v>High (6-10K)</v>
      </c>
      <c r="AI469" t="str">
        <f t="shared" si="44"/>
        <v>6-10 yrs</v>
      </c>
      <c r="AJ469" t="str">
        <f t="shared" si="45"/>
        <v>Good</v>
      </c>
      <c r="AK469" t="str">
        <f t="shared" si="46"/>
        <v>Dissatisfied</v>
      </c>
      <c r="AL469">
        <f t="shared" si="47"/>
        <v>106008</v>
      </c>
    </row>
    <row r="470" spans="1:38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42"/>
        <v>46+</v>
      </c>
      <c r="AH470" t="str">
        <f t="shared" si="43"/>
        <v>Mid (3-6K)</v>
      </c>
      <c r="AI470" t="str">
        <f t="shared" si="44"/>
        <v>6-10 yrs</v>
      </c>
      <c r="AJ470" t="str">
        <f t="shared" si="45"/>
        <v>Good</v>
      </c>
      <c r="AK470" t="str">
        <f t="shared" si="46"/>
        <v>Very Dissatisfied</v>
      </c>
      <c r="AL470">
        <f t="shared" si="47"/>
        <v>66924</v>
      </c>
    </row>
    <row r="471" spans="1:38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42"/>
        <v>26-35</v>
      </c>
      <c r="AH471" t="str">
        <f t="shared" si="43"/>
        <v>Mid (3-6K)</v>
      </c>
      <c r="AI471" t="str">
        <f t="shared" si="44"/>
        <v>3-5 yrs</v>
      </c>
      <c r="AJ471" t="str">
        <f t="shared" si="45"/>
        <v>Good</v>
      </c>
      <c r="AK471" t="str">
        <f t="shared" si="46"/>
        <v>Satisfied</v>
      </c>
      <c r="AL471">
        <f t="shared" si="47"/>
        <v>56484</v>
      </c>
    </row>
    <row r="472" spans="1:38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42"/>
        <v>20-25</v>
      </c>
      <c r="AH472" t="str">
        <f t="shared" si="43"/>
        <v>Low (0-3K)</v>
      </c>
      <c r="AI472" t="str">
        <f t="shared" si="44"/>
        <v>0-2 yrs</v>
      </c>
      <c r="AJ472" t="str">
        <f t="shared" si="45"/>
        <v>Good</v>
      </c>
      <c r="AK472" t="str">
        <f t="shared" si="46"/>
        <v>Very Satisfied</v>
      </c>
      <c r="AL472">
        <f t="shared" si="47"/>
        <v>28800</v>
      </c>
    </row>
    <row r="473" spans="1:38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42"/>
        <v>36-45</v>
      </c>
      <c r="AH473" t="str">
        <f t="shared" si="43"/>
        <v>High (6-10K)</v>
      </c>
      <c r="AI473" t="str">
        <f t="shared" si="44"/>
        <v>0-2 yrs</v>
      </c>
      <c r="AJ473" t="str">
        <f t="shared" si="45"/>
        <v>Good</v>
      </c>
      <c r="AK473" t="str">
        <f t="shared" si="46"/>
        <v>Satisfied</v>
      </c>
      <c r="AL473">
        <f t="shared" si="47"/>
        <v>117888</v>
      </c>
    </row>
    <row r="474" spans="1:38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42"/>
        <v>36-45</v>
      </c>
      <c r="AH474" t="str">
        <f t="shared" si="43"/>
        <v>High (6-10K)</v>
      </c>
      <c r="AI474" t="str">
        <f t="shared" si="44"/>
        <v>6-10 yrs</v>
      </c>
      <c r="AJ474" t="str">
        <f t="shared" si="45"/>
        <v>Good</v>
      </c>
      <c r="AK474" t="str">
        <f t="shared" si="46"/>
        <v>Dissatisfied</v>
      </c>
      <c r="AL474">
        <f t="shared" si="47"/>
        <v>77364</v>
      </c>
    </row>
    <row r="475" spans="1:38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42"/>
        <v>46+</v>
      </c>
      <c r="AH475" t="str">
        <f t="shared" si="43"/>
        <v>Very High (10K+)</v>
      </c>
      <c r="AI475" t="str">
        <f t="shared" si="44"/>
        <v>10+ yrs</v>
      </c>
      <c r="AJ475" t="str">
        <f t="shared" si="45"/>
        <v>Good</v>
      </c>
      <c r="AK475" t="str">
        <f t="shared" si="46"/>
        <v>Satisfied</v>
      </c>
      <c r="AL475">
        <f t="shared" si="47"/>
        <v>234024</v>
      </c>
    </row>
    <row r="476" spans="1:38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42"/>
        <v>20-25</v>
      </c>
      <c r="AH476" t="str">
        <f t="shared" si="43"/>
        <v>Low (0-3K)</v>
      </c>
      <c r="AI476" t="str">
        <f t="shared" si="44"/>
        <v>6-10 yrs</v>
      </c>
      <c r="AJ476" t="str">
        <f t="shared" si="45"/>
        <v>Good</v>
      </c>
      <c r="AK476" t="str">
        <f t="shared" si="46"/>
        <v>Very Satisfied</v>
      </c>
      <c r="AL476">
        <f t="shared" si="47"/>
        <v>32700</v>
      </c>
    </row>
    <row r="477" spans="1:38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42"/>
        <v>26-35</v>
      </c>
      <c r="AH477" t="str">
        <f t="shared" si="43"/>
        <v>High (6-10K)</v>
      </c>
      <c r="AI477" t="str">
        <f t="shared" si="44"/>
        <v>3-5 yrs</v>
      </c>
      <c r="AJ477" t="str">
        <f t="shared" si="45"/>
        <v>Excellent</v>
      </c>
      <c r="AK477" t="str">
        <f t="shared" si="46"/>
        <v>Dissatisfied</v>
      </c>
      <c r="AL477">
        <f t="shared" si="47"/>
        <v>75264</v>
      </c>
    </row>
    <row r="478" spans="1:38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42"/>
        <v>20-25</v>
      </c>
      <c r="AH478" t="str">
        <f t="shared" si="43"/>
        <v>Low (0-3K)</v>
      </c>
      <c r="AI478" t="str">
        <f t="shared" si="44"/>
        <v>0-2 yrs</v>
      </c>
      <c r="AJ478" t="str">
        <f t="shared" si="45"/>
        <v>Excellent</v>
      </c>
      <c r="AK478" t="str">
        <f t="shared" si="46"/>
        <v>Dissatisfied</v>
      </c>
      <c r="AL478">
        <f t="shared" si="47"/>
        <v>25524</v>
      </c>
    </row>
    <row r="479" spans="1:38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42"/>
        <v>46+</v>
      </c>
      <c r="AH479" t="str">
        <f t="shared" si="43"/>
        <v>Very High (10K+)</v>
      </c>
      <c r="AI479" t="str">
        <f t="shared" si="44"/>
        <v>10+ yrs</v>
      </c>
      <c r="AJ479" t="str">
        <f t="shared" si="45"/>
        <v>Good</v>
      </c>
      <c r="AK479" t="str">
        <f t="shared" si="46"/>
        <v>Dissatisfied</v>
      </c>
      <c r="AL479">
        <f t="shared" si="47"/>
        <v>218400</v>
      </c>
    </row>
    <row r="480" spans="1:38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42"/>
        <v>20-25</v>
      </c>
      <c r="AH480" t="str">
        <f t="shared" si="43"/>
        <v>Low (0-3K)</v>
      </c>
      <c r="AI480" t="str">
        <f t="shared" si="44"/>
        <v>6-10 yrs</v>
      </c>
      <c r="AJ480" t="str">
        <f t="shared" si="45"/>
        <v>Good</v>
      </c>
      <c r="AK480" t="str">
        <f t="shared" si="46"/>
        <v>Satisfied</v>
      </c>
      <c r="AL480">
        <f t="shared" si="47"/>
        <v>25152</v>
      </c>
    </row>
    <row r="481" spans="1:38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42"/>
        <v>20-25</v>
      </c>
      <c r="AH481" t="str">
        <f t="shared" si="43"/>
        <v>Low (0-3K)</v>
      </c>
      <c r="AI481" t="str">
        <f t="shared" si="44"/>
        <v>6-10 yrs</v>
      </c>
      <c r="AJ481" t="str">
        <f t="shared" si="45"/>
        <v>Good</v>
      </c>
      <c r="AK481" t="str">
        <f t="shared" si="46"/>
        <v>Satisfied</v>
      </c>
      <c r="AL481">
        <f t="shared" si="47"/>
        <v>34632</v>
      </c>
    </row>
    <row r="482" spans="1:38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42"/>
        <v>26-35</v>
      </c>
      <c r="AH482" t="str">
        <f t="shared" si="43"/>
        <v>Low (0-3K)</v>
      </c>
      <c r="AI482" t="str">
        <f t="shared" si="44"/>
        <v>0-2 yrs</v>
      </c>
      <c r="AJ482" t="str">
        <f t="shared" si="45"/>
        <v>Good</v>
      </c>
      <c r="AK482" t="str">
        <f t="shared" si="46"/>
        <v>Very Dissatisfied</v>
      </c>
      <c r="AL482">
        <f t="shared" si="47"/>
        <v>24396</v>
      </c>
    </row>
    <row r="483" spans="1:38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42"/>
        <v>26-35</v>
      </c>
      <c r="AH483" t="str">
        <f t="shared" si="43"/>
        <v>Mid (3-6K)</v>
      </c>
      <c r="AI483" t="str">
        <f t="shared" si="44"/>
        <v>6-10 yrs</v>
      </c>
      <c r="AJ483" t="str">
        <f t="shared" si="45"/>
        <v>Good</v>
      </c>
      <c r="AK483" t="str">
        <f t="shared" si="46"/>
        <v>Very Satisfied</v>
      </c>
      <c r="AL483">
        <f t="shared" si="47"/>
        <v>43464</v>
      </c>
    </row>
    <row r="484" spans="1:38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42"/>
        <v>26-35</v>
      </c>
      <c r="AH484" t="str">
        <f t="shared" si="43"/>
        <v>Mid (3-6K)</v>
      </c>
      <c r="AI484" t="str">
        <f t="shared" si="44"/>
        <v>3-5 yrs</v>
      </c>
      <c r="AJ484" t="str">
        <f t="shared" si="45"/>
        <v>Good</v>
      </c>
      <c r="AK484" t="str">
        <f t="shared" si="46"/>
        <v>Very Dissatisfied</v>
      </c>
      <c r="AL484">
        <f t="shared" si="47"/>
        <v>50796</v>
      </c>
    </row>
    <row r="485" spans="1:38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42"/>
        <v>26-35</v>
      </c>
      <c r="AH485" t="str">
        <f t="shared" si="43"/>
        <v>Mid (3-6K)</v>
      </c>
      <c r="AI485" t="str">
        <f t="shared" si="44"/>
        <v>3-5 yrs</v>
      </c>
      <c r="AJ485" t="str">
        <f t="shared" si="45"/>
        <v>Good</v>
      </c>
      <c r="AK485" t="str">
        <f t="shared" si="46"/>
        <v>Very Satisfied</v>
      </c>
      <c r="AL485">
        <f t="shared" si="47"/>
        <v>44172</v>
      </c>
    </row>
    <row r="486" spans="1:38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42"/>
        <v>26-35</v>
      </c>
      <c r="AH486" t="str">
        <f t="shared" si="43"/>
        <v>Mid (3-6K)</v>
      </c>
      <c r="AI486" t="str">
        <f t="shared" si="44"/>
        <v>6-10 yrs</v>
      </c>
      <c r="AJ486" t="str">
        <f t="shared" si="45"/>
        <v>Excellent</v>
      </c>
      <c r="AK486" t="str">
        <f t="shared" si="46"/>
        <v>Very Satisfied</v>
      </c>
      <c r="AL486">
        <f t="shared" si="47"/>
        <v>65520</v>
      </c>
    </row>
    <row r="487" spans="1:38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42"/>
        <v>26-35</v>
      </c>
      <c r="AH487" t="str">
        <f t="shared" si="43"/>
        <v>Low (0-3K)</v>
      </c>
      <c r="AI487" t="str">
        <f t="shared" si="44"/>
        <v>3-5 yrs</v>
      </c>
      <c r="AJ487" t="str">
        <f t="shared" si="45"/>
        <v>Good</v>
      </c>
      <c r="AK487" t="str">
        <f t="shared" si="46"/>
        <v>Satisfied</v>
      </c>
      <c r="AL487">
        <f t="shared" si="47"/>
        <v>26244</v>
      </c>
    </row>
    <row r="488" spans="1:38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42"/>
        <v>36-45</v>
      </c>
      <c r="AH488" t="str">
        <f t="shared" si="43"/>
        <v>High (6-10K)</v>
      </c>
      <c r="AI488" t="str">
        <f t="shared" si="44"/>
        <v>3-5 yrs</v>
      </c>
      <c r="AJ488" t="str">
        <f t="shared" si="45"/>
        <v>Good</v>
      </c>
      <c r="AK488" t="str">
        <f t="shared" si="46"/>
        <v>Satisfied</v>
      </c>
      <c r="AL488">
        <f t="shared" si="47"/>
        <v>115224</v>
      </c>
    </row>
    <row r="489" spans="1:38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42"/>
        <v>20-25</v>
      </c>
      <c r="AH489" t="str">
        <f t="shared" si="43"/>
        <v>Low (0-3K)</v>
      </c>
      <c r="AI489" t="str">
        <f t="shared" si="44"/>
        <v>0-2 yrs</v>
      </c>
      <c r="AJ489" t="str">
        <f t="shared" si="45"/>
        <v>Good</v>
      </c>
      <c r="AK489" t="str">
        <f t="shared" si="46"/>
        <v>Dissatisfied</v>
      </c>
      <c r="AL489">
        <f t="shared" si="47"/>
        <v>34032</v>
      </c>
    </row>
    <row r="490" spans="1:38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42"/>
        <v>36-45</v>
      </c>
      <c r="AH490" t="str">
        <f t="shared" si="43"/>
        <v>Mid (3-6K)</v>
      </c>
      <c r="AI490" t="str">
        <f t="shared" si="44"/>
        <v>6-10 yrs</v>
      </c>
      <c r="AJ490" t="str">
        <f t="shared" si="45"/>
        <v>Good</v>
      </c>
      <c r="AK490" t="str">
        <f t="shared" si="46"/>
        <v>Very Satisfied</v>
      </c>
      <c r="AL490">
        <f t="shared" si="47"/>
        <v>49068</v>
      </c>
    </row>
    <row r="491" spans="1:38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42"/>
        <v>36-45</v>
      </c>
      <c r="AH491" t="str">
        <f t="shared" si="43"/>
        <v>Very High (10K+)</v>
      </c>
      <c r="AI491" t="str">
        <f t="shared" si="44"/>
        <v>0-2 yrs</v>
      </c>
      <c r="AJ491" t="str">
        <f t="shared" si="45"/>
        <v>Good</v>
      </c>
      <c r="AK491" t="str">
        <f t="shared" si="46"/>
        <v>Very Satisfied</v>
      </c>
      <c r="AL491">
        <f t="shared" si="47"/>
        <v>199524</v>
      </c>
    </row>
    <row r="492" spans="1:38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42"/>
        <v>36-45</v>
      </c>
      <c r="AH492" t="str">
        <f t="shared" si="43"/>
        <v>Low (0-3K)</v>
      </c>
      <c r="AI492" t="str">
        <f t="shared" si="44"/>
        <v>0-2 yrs</v>
      </c>
      <c r="AJ492" t="str">
        <f t="shared" si="45"/>
        <v>Good</v>
      </c>
      <c r="AK492" t="str">
        <f t="shared" si="46"/>
        <v>Very Dissatisfied</v>
      </c>
      <c r="AL492">
        <f t="shared" si="47"/>
        <v>31428</v>
      </c>
    </row>
    <row r="493" spans="1:38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42"/>
        <v>36-45</v>
      </c>
      <c r="AH493" t="str">
        <f t="shared" si="43"/>
        <v>Mid (3-6K)</v>
      </c>
      <c r="AI493" t="str">
        <f t="shared" si="44"/>
        <v>6-10 yrs</v>
      </c>
      <c r="AJ493" t="str">
        <f t="shared" si="45"/>
        <v>Good</v>
      </c>
      <c r="AK493" t="str">
        <f t="shared" si="46"/>
        <v>Satisfied</v>
      </c>
      <c r="AL493">
        <f t="shared" si="47"/>
        <v>68148</v>
      </c>
    </row>
    <row r="494" spans="1:38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42"/>
        <v>46+</v>
      </c>
      <c r="AH494" t="str">
        <f t="shared" si="43"/>
        <v>Very High (10K+)</v>
      </c>
      <c r="AI494" t="str">
        <f t="shared" si="44"/>
        <v>3-5 yrs</v>
      </c>
      <c r="AJ494" t="str">
        <f t="shared" si="45"/>
        <v>Good</v>
      </c>
      <c r="AK494" t="str">
        <f t="shared" si="46"/>
        <v>Very Dissatisfied</v>
      </c>
      <c r="AL494">
        <f t="shared" si="47"/>
        <v>184824</v>
      </c>
    </row>
    <row r="495" spans="1:38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42"/>
        <v>36-45</v>
      </c>
      <c r="AH495" t="str">
        <f t="shared" si="43"/>
        <v>Mid (3-6K)</v>
      </c>
      <c r="AI495" t="str">
        <f t="shared" si="44"/>
        <v>0-2 yrs</v>
      </c>
      <c r="AJ495" t="str">
        <f t="shared" si="45"/>
        <v>Good</v>
      </c>
      <c r="AK495" t="str">
        <f t="shared" si="46"/>
        <v>Satisfied</v>
      </c>
      <c r="AL495">
        <f t="shared" si="47"/>
        <v>71820</v>
      </c>
    </row>
    <row r="496" spans="1:38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42"/>
        <v>26-35</v>
      </c>
      <c r="AH496" t="str">
        <f t="shared" si="43"/>
        <v>Low (0-3K)</v>
      </c>
      <c r="AI496" t="str">
        <f t="shared" si="44"/>
        <v>6-10 yrs</v>
      </c>
      <c r="AJ496" t="str">
        <f t="shared" si="45"/>
        <v>Good</v>
      </c>
      <c r="AK496" t="str">
        <f t="shared" si="46"/>
        <v>Satisfied</v>
      </c>
      <c r="AL496">
        <f t="shared" si="47"/>
        <v>30948</v>
      </c>
    </row>
    <row r="497" spans="1:38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42"/>
        <v>26-35</v>
      </c>
      <c r="AH497" t="str">
        <f t="shared" si="43"/>
        <v>Mid (3-6K)</v>
      </c>
      <c r="AI497" t="str">
        <f t="shared" si="44"/>
        <v>3-5 yrs</v>
      </c>
      <c r="AJ497" t="str">
        <f t="shared" si="45"/>
        <v>Good</v>
      </c>
      <c r="AK497" t="str">
        <f t="shared" si="46"/>
        <v>Very Dissatisfied</v>
      </c>
      <c r="AL497">
        <f t="shared" si="47"/>
        <v>36492</v>
      </c>
    </row>
    <row r="498" spans="1:38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42"/>
        <v>20-25</v>
      </c>
      <c r="AH498" t="str">
        <f t="shared" si="43"/>
        <v>Mid (3-6K)</v>
      </c>
      <c r="AI498" t="str">
        <f t="shared" si="44"/>
        <v>3-5 yrs</v>
      </c>
      <c r="AJ498" t="str">
        <f t="shared" si="45"/>
        <v>Good</v>
      </c>
      <c r="AK498" t="str">
        <f t="shared" si="46"/>
        <v>Satisfied</v>
      </c>
      <c r="AL498">
        <f t="shared" si="47"/>
        <v>41364</v>
      </c>
    </row>
    <row r="499" spans="1:38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42"/>
        <v>36-45</v>
      </c>
      <c r="AH499" t="str">
        <f t="shared" si="43"/>
        <v>Very High (10K+)</v>
      </c>
      <c r="AI499" t="str">
        <f t="shared" si="44"/>
        <v>0-2 yrs</v>
      </c>
      <c r="AJ499" t="str">
        <f t="shared" si="45"/>
        <v>Good</v>
      </c>
      <c r="AK499" t="str">
        <f t="shared" si="46"/>
        <v>Very Satisfied</v>
      </c>
      <c r="AL499">
        <f t="shared" si="47"/>
        <v>234156</v>
      </c>
    </row>
    <row r="500" spans="1:38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42"/>
        <v>20-25</v>
      </c>
      <c r="AH500" t="str">
        <f t="shared" si="43"/>
        <v>Low (0-3K)</v>
      </c>
      <c r="AI500" t="str">
        <f t="shared" si="44"/>
        <v>0-2 yrs</v>
      </c>
      <c r="AJ500" t="str">
        <f t="shared" si="45"/>
        <v>Excellent</v>
      </c>
      <c r="AK500" t="str">
        <f t="shared" si="46"/>
        <v>Satisfied</v>
      </c>
      <c r="AL500">
        <f t="shared" si="47"/>
        <v>33276</v>
      </c>
    </row>
    <row r="501" spans="1:38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42"/>
        <v>26-35</v>
      </c>
      <c r="AH501" t="str">
        <f t="shared" si="43"/>
        <v>High (6-10K)</v>
      </c>
      <c r="AI501" t="str">
        <f t="shared" si="44"/>
        <v>3-5 yrs</v>
      </c>
      <c r="AJ501" t="str">
        <f t="shared" si="45"/>
        <v>Good</v>
      </c>
      <c r="AK501" t="str">
        <f t="shared" si="46"/>
        <v>Satisfied</v>
      </c>
      <c r="AL501">
        <f t="shared" si="47"/>
        <v>85248</v>
      </c>
    </row>
    <row r="502" spans="1:38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42"/>
        <v>26-35</v>
      </c>
      <c r="AH502" t="str">
        <f t="shared" si="43"/>
        <v>High (6-10K)</v>
      </c>
      <c r="AI502" t="str">
        <f t="shared" si="44"/>
        <v>6-10 yrs</v>
      </c>
      <c r="AJ502" t="str">
        <f t="shared" si="45"/>
        <v>Good</v>
      </c>
      <c r="AK502" t="str">
        <f t="shared" si="46"/>
        <v>Very Satisfied</v>
      </c>
      <c r="AL502">
        <f t="shared" si="47"/>
        <v>75864</v>
      </c>
    </row>
    <row r="503" spans="1:38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42"/>
        <v>26-35</v>
      </c>
      <c r="AH503" t="str">
        <f t="shared" si="43"/>
        <v>Low (0-3K)</v>
      </c>
      <c r="AI503" t="str">
        <f t="shared" si="44"/>
        <v>0-2 yrs</v>
      </c>
      <c r="AJ503" t="str">
        <f t="shared" si="45"/>
        <v>Excellent</v>
      </c>
      <c r="AK503" t="str">
        <f t="shared" si="46"/>
        <v>Satisfied</v>
      </c>
      <c r="AL503">
        <f t="shared" si="47"/>
        <v>24996</v>
      </c>
    </row>
    <row r="504" spans="1:38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42"/>
        <v>46+</v>
      </c>
      <c r="AH504" t="str">
        <f t="shared" si="43"/>
        <v>High (6-10K)</v>
      </c>
      <c r="AI504" t="str">
        <f t="shared" si="44"/>
        <v>10+ yrs</v>
      </c>
      <c r="AJ504" t="str">
        <f t="shared" si="45"/>
        <v>Excellent</v>
      </c>
      <c r="AK504" t="str">
        <f t="shared" si="46"/>
        <v>Very Dissatisfied</v>
      </c>
      <c r="AL504">
        <f t="shared" si="47"/>
        <v>100572</v>
      </c>
    </row>
    <row r="505" spans="1:38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42"/>
        <v>26-35</v>
      </c>
      <c r="AH505" t="str">
        <f t="shared" si="43"/>
        <v>Low (0-3K)</v>
      </c>
      <c r="AI505" t="str">
        <f t="shared" si="44"/>
        <v>6-10 yrs</v>
      </c>
      <c r="AJ505" t="str">
        <f t="shared" si="45"/>
        <v>Good</v>
      </c>
      <c r="AK505" t="str">
        <f t="shared" si="46"/>
        <v>Very Satisfied</v>
      </c>
      <c r="AL505">
        <f t="shared" si="47"/>
        <v>32292</v>
      </c>
    </row>
    <row r="506" spans="1:38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42"/>
        <v>36-45</v>
      </c>
      <c r="AH506" t="str">
        <f t="shared" si="43"/>
        <v>Mid (3-6K)</v>
      </c>
      <c r="AI506" t="str">
        <f t="shared" si="44"/>
        <v>0-2 yrs</v>
      </c>
      <c r="AJ506" t="str">
        <f t="shared" si="45"/>
        <v>Good</v>
      </c>
      <c r="AK506" t="str">
        <f t="shared" si="46"/>
        <v>Very Dissatisfied</v>
      </c>
      <c r="AL506">
        <f t="shared" si="47"/>
        <v>51432</v>
      </c>
    </row>
    <row r="507" spans="1:38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42"/>
        <v>26-35</v>
      </c>
      <c r="AH507" t="str">
        <f t="shared" si="43"/>
        <v>Low (0-3K)</v>
      </c>
      <c r="AI507" t="str">
        <f t="shared" si="44"/>
        <v>3-5 yrs</v>
      </c>
      <c r="AJ507" t="str">
        <f t="shared" si="45"/>
        <v>Good</v>
      </c>
      <c r="AK507" t="str">
        <f t="shared" si="46"/>
        <v>Very Satisfied</v>
      </c>
      <c r="AL507">
        <f t="shared" si="47"/>
        <v>31908</v>
      </c>
    </row>
    <row r="508" spans="1:38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42"/>
        <v>36-45</v>
      </c>
      <c r="AH508" t="str">
        <f t="shared" si="43"/>
        <v>High (6-10K)</v>
      </c>
      <c r="AI508" t="str">
        <f t="shared" si="44"/>
        <v>6-10 yrs</v>
      </c>
      <c r="AJ508" t="str">
        <f t="shared" si="45"/>
        <v>Good</v>
      </c>
      <c r="AK508" t="str">
        <f t="shared" si="46"/>
        <v>Satisfied</v>
      </c>
      <c r="AL508">
        <f t="shared" si="47"/>
        <v>113208</v>
      </c>
    </row>
    <row r="509" spans="1:38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42"/>
        <v>26-35</v>
      </c>
      <c r="AH509" t="str">
        <f t="shared" si="43"/>
        <v>Mid (3-6K)</v>
      </c>
      <c r="AI509" t="str">
        <f t="shared" si="44"/>
        <v>6-10 yrs</v>
      </c>
      <c r="AJ509" t="str">
        <f t="shared" si="45"/>
        <v>Good</v>
      </c>
      <c r="AK509" t="str">
        <f t="shared" si="46"/>
        <v>Satisfied</v>
      </c>
      <c r="AL509">
        <f t="shared" si="47"/>
        <v>66732</v>
      </c>
    </row>
    <row r="510" spans="1:38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42"/>
        <v>26-35</v>
      </c>
      <c r="AH510" t="str">
        <f t="shared" si="43"/>
        <v>High (6-10K)</v>
      </c>
      <c r="AI510" t="str">
        <f t="shared" si="44"/>
        <v>10+ yrs</v>
      </c>
      <c r="AJ510" t="str">
        <f t="shared" si="45"/>
        <v>Good</v>
      </c>
      <c r="AK510" t="str">
        <f t="shared" si="46"/>
        <v>Very Satisfied</v>
      </c>
      <c r="AL510">
        <f t="shared" si="47"/>
        <v>79752</v>
      </c>
    </row>
    <row r="511" spans="1:38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42"/>
        <v>26-35</v>
      </c>
      <c r="AH511" t="str">
        <f t="shared" si="43"/>
        <v>High (6-10K)</v>
      </c>
      <c r="AI511" t="str">
        <f t="shared" si="44"/>
        <v>10+ yrs</v>
      </c>
      <c r="AJ511" t="str">
        <f t="shared" si="45"/>
        <v>Excellent</v>
      </c>
      <c r="AK511" t="str">
        <f t="shared" si="46"/>
        <v>Very Satisfied</v>
      </c>
      <c r="AL511">
        <f t="shared" si="47"/>
        <v>92700</v>
      </c>
    </row>
    <row r="512" spans="1:38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42"/>
        <v>46+</v>
      </c>
      <c r="AH512" t="str">
        <f t="shared" si="43"/>
        <v>Very High (10K+)</v>
      </c>
      <c r="AI512" t="str">
        <f t="shared" si="44"/>
        <v>6-10 yrs</v>
      </c>
      <c r="AJ512" t="str">
        <f t="shared" si="45"/>
        <v>Good</v>
      </c>
      <c r="AK512" t="str">
        <f t="shared" si="46"/>
        <v>Dissatisfied</v>
      </c>
      <c r="AL512">
        <f t="shared" si="47"/>
        <v>128700</v>
      </c>
    </row>
    <row r="513" spans="1:38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42"/>
        <v>36-45</v>
      </c>
      <c r="AH513" t="str">
        <f t="shared" si="43"/>
        <v>High (6-10K)</v>
      </c>
      <c r="AI513" t="str">
        <f t="shared" si="44"/>
        <v>3-5 yrs</v>
      </c>
      <c r="AJ513" t="str">
        <f t="shared" si="45"/>
        <v>Good</v>
      </c>
      <c r="AK513" t="str">
        <f t="shared" si="46"/>
        <v>Dissatisfied</v>
      </c>
      <c r="AL513">
        <f t="shared" si="47"/>
        <v>106164</v>
      </c>
    </row>
    <row r="514" spans="1:38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si="42"/>
        <v>26-35</v>
      </c>
      <c r="AH514" t="str">
        <f t="shared" si="43"/>
        <v>Low (0-3K)</v>
      </c>
      <c r="AI514" t="str">
        <f t="shared" si="44"/>
        <v>3-5 yrs</v>
      </c>
      <c r="AJ514" t="str">
        <f t="shared" si="45"/>
        <v>Good</v>
      </c>
      <c r="AK514" t="str">
        <f t="shared" si="46"/>
        <v>Very Satisfied</v>
      </c>
      <c r="AL514">
        <f t="shared" si="47"/>
        <v>24540</v>
      </c>
    </row>
    <row r="515" spans="1:38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ref="AG515:AG578" si="48">IF(A515&lt;=25,"20-25",IF(A515&lt;=35,"26-35",IF(A515&lt;=45,"36-45","46+")))</f>
        <v>20-25</v>
      </c>
      <c r="AH515" t="str">
        <f t="shared" ref="AH515:AH578" si="49">IF(R515&lt;=3000,"Low (0-3K)",IF(R515&lt;=6000,"Mid (3-6K)",IF(R515&lt;=10000,"High (6-10K)","Very High (10K+)")))</f>
        <v>Low (0-3K)</v>
      </c>
      <c r="AI515" t="str">
        <f t="shared" ref="AI515:AI578" si="50">IF(AC515&lt;=2,"0-2 yrs",IF(AC515&lt;=5,"3-5 yrs",IF(AC515&lt;=10,"6-10 yrs","10+ yrs")))</f>
        <v>0-2 yrs</v>
      </c>
      <c r="AJ515" t="str">
        <f t="shared" ref="AJ515:AJ578" si="51">IF(W515=4,"Excellent",IF(W515=3,"Good",IF(W515=2,"Needs Improvement","Poor")))</f>
        <v>Good</v>
      </c>
      <c r="AK515" t="str">
        <f t="shared" ref="AK515:AK578" si="52">IF(P515=4,"Very Satisfied",IF(P515=3,"Satisfied",IF(P515=2,"Dissatisfied","Very Dissatisfied")))</f>
        <v>Satisfied</v>
      </c>
      <c r="AL515">
        <f t="shared" ref="AL515:AL578" si="53">R515*12</f>
        <v>12108</v>
      </c>
    </row>
    <row r="516" spans="1:38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48"/>
        <v>26-35</v>
      </c>
      <c r="AH516" t="str">
        <f t="shared" si="49"/>
        <v>Mid (3-6K)</v>
      </c>
      <c r="AI516" t="str">
        <f t="shared" si="50"/>
        <v>6-10 yrs</v>
      </c>
      <c r="AJ516" t="str">
        <f t="shared" si="51"/>
        <v>Good</v>
      </c>
      <c r="AK516" t="str">
        <f t="shared" si="52"/>
        <v>Very Dissatisfied</v>
      </c>
      <c r="AL516">
        <f t="shared" si="53"/>
        <v>40176</v>
      </c>
    </row>
    <row r="517" spans="1:38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48"/>
        <v>26-35</v>
      </c>
      <c r="AH517" t="str">
        <f t="shared" si="49"/>
        <v>Low (0-3K)</v>
      </c>
      <c r="AI517" t="str">
        <f t="shared" si="50"/>
        <v>0-2 yrs</v>
      </c>
      <c r="AJ517" t="str">
        <f t="shared" si="51"/>
        <v>Good</v>
      </c>
      <c r="AK517" t="str">
        <f t="shared" si="52"/>
        <v>Satisfied</v>
      </c>
      <c r="AL517">
        <f t="shared" si="53"/>
        <v>15372</v>
      </c>
    </row>
    <row r="518" spans="1:38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48"/>
        <v>20-25</v>
      </c>
      <c r="AH518" t="str">
        <f t="shared" si="49"/>
        <v>Low (0-3K)</v>
      </c>
      <c r="AI518" t="str">
        <f t="shared" si="50"/>
        <v>3-5 yrs</v>
      </c>
      <c r="AJ518" t="str">
        <f t="shared" si="51"/>
        <v>Good</v>
      </c>
      <c r="AK518" t="str">
        <f t="shared" si="52"/>
        <v>Very Dissatisfied</v>
      </c>
      <c r="AL518">
        <f t="shared" si="53"/>
        <v>33828</v>
      </c>
    </row>
    <row r="519" spans="1:38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48"/>
        <v>20-25</v>
      </c>
      <c r="AH519" t="str">
        <f t="shared" si="49"/>
        <v>Mid (3-6K)</v>
      </c>
      <c r="AI519" t="str">
        <f t="shared" si="50"/>
        <v>3-5 yrs</v>
      </c>
      <c r="AJ519" t="str">
        <f t="shared" si="51"/>
        <v>Excellent</v>
      </c>
      <c r="AK519" t="str">
        <f t="shared" si="52"/>
        <v>Dissatisfied</v>
      </c>
      <c r="AL519">
        <f t="shared" si="53"/>
        <v>58212</v>
      </c>
    </row>
    <row r="520" spans="1:38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48"/>
        <v>36-45</v>
      </c>
      <c r="AH520" t="str">
        <f t="shared" si="49"/>
        <v>Mid (3-6K)</v>
      </c>
      <c r="AI520" t="str">
        <f t="shared" si="50"/>
        <v>6-10 yrs</v>
      </c>
      <c r="AJ520" t="str">
        <f t="shared" si="51"/>
        <v>Excellent</v>
      </c>
      <c r="AK520" t="str">
        <f t="shared" si="52"/>
        <v>Very Satisfied</v>
      </c>
      <c r="AL520">
        <f t="shared" si="53"/>
        <v>48336</v>
      </c>
    </row>
    <row r="521" spans="1:38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48"/>
        <v>26-35</v>
      </c>
      <c r="AH521" t="str">
        <f t="shared" si="49"/>
        <v>Low (0-3K)</v>
      </c>
      <c r="AI521" t="str">
        <f t="shared" si="50"/>
        <v>6-10 yrs</v>
      </c>
      <c r="AJ521" t="str">
        <f t="shared" si="51"/>
        <v>Good</v>
      </c>
      <c r="AK521" t="str">
        <f t="shared" si="52"/>
        <v>Very Satisfied</v>
      </c>
      <c r="AL521">
        <f t="shared" si="53"/>
        <v>32640</v>
      </c>
    </row>
    <row r="522" spans="1:38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48"/>
        <v>46+</v>
      </c>
      <c r="AH522" t="str">
        <f t="shared" si="49"/>
        <v>High (6-10K)</v>
      </c>
      <c r="AI522" t="str">
        <f t="shared" si="50"/>
        <v>0-2 yrs</v>
      </c>
      <c r="AJ522" t="str">
        <f t="shared" si="51"/>
        <v>Good</v>
      </c>
      <c r="AK522" t="str">
        <f t="shared" si="52"/>
        <v>Dissatisfied</v>
      </c>
      <c r="AL522">
        <f t="shared" si="53"/>
        <v>97440</v>
      </c>
    </row>
    <row r="523" spans="1:38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48"/>
        <v>26-35</v>
      </c>
      <c r="AH523" t="str">
        <f t="shared" si="49"/>
        <v>Mid (3-6K)</v>
      </c>
      <c r="AI523" t="str">
        <f t="shared" si="50"/>
        <v>6-10 yrs</v>
      </c>
      <c r="AJ523" t="str">
        <f t="shared" si="51"/>
        <v>Excellent</v>
      </c>
      <c r="AK523" t="str">
        <f t="shared" si="52"/>
        <v>Very Satisfied</v>
      </c>
      <c r="AL523">
        <f t="shared" si="53"/>
        <v>55764</v>
      </c>
    </row>
    <row r="524" spans="1:38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48"/>
        <v>36-45</v>
      </c>
      <c r="AH524" t="str">
        <f t="shared" si="49"/>
        <v>Mid (3-6K)</v>
      </c>
      <c r="AI524" t="str">
        <f t="shared" si="50"/>
        <v>0-2 yrs</v>
      </c>
      <c r="AJ524" t="str">
        <f t="shared" si="51"/>
        <v>Good</v>
      </c>
      <c r="AK524" t="str">
        <f t="shared" si="52"/>
        <v>Very Satisfied</v>
      </c>
      <c r="AL524">
        <f t="shared" si="53"/>
        <v>56160</v>
      </c>
    </row>
    <row r="525" spans="1:38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48"/>
        <v>46+</v>
      </c>
      <c r="AH525" t="str">
        <f t="shared" si="49"/>
        <v>Mid (3-6K)</v>
      </c>
      <c r="AI525" t="str">
        <f t="shared" si="50"/>
        <v>10+ yrs</v>
      </c>
      <c r="AJ525" t="str">
        <f t="shared" si="51"/>
        <v>Good</v>
      </c>
      <c r="AK525" t="str">
        <f t="shared" si="52"/>
        <v>Satisfied</v>
      </c>
      <c r="AL525">
        <f t="shared" si="53"/>
        <v>38652</v>
      </c>
    </row>
    <row r="526" spans="1:38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48"/>
        <v>26-35</v>
      </c>
      <c r="AH526" t="str">
        <f t="shared" si="49"/>
        <v>High (6-10K)</v>
      </c>
      <c r="AI526" t="str">
        <f t="shared" si="50"/>
        <v>6-10 yrs</v>
      </c>
      <c r="AJ526" t="str">
        <f t="shared" si="51"/>
        <v>Good</v>
      </c>
      <c r="AK526" t="str">
        <f t="shared" si="52"/>
        <v>Dissatisfied</v>
      </c>
      <c r="AL526">
        <f t="shared" si="53"/>
        <v>103452</v>
      </c>
    </row>
    <row r="527" spans="1:38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48"/>
        <v>20-25</v>
      </c>
      <c r="AH527" t="str">
        <f t="shared" si="49"/>
        <v>Mid (3-6K)</v>
      </c>
      <c r="AI527" t="str">
        <f t="shared" si="50"/>
        <v>0-2 yrs</v>
      </c>
      <c r="AJ527" t="str">
        <f t="shared" si="51"/>
        <v>Good</v>
      </c>
      <c r="AK527" t="str">
        <f t="shared" si="52"/>
        <v>Satisfied</v>
      </c>
      <c r="AL527">
        <f t="shared" si="53"/>
        <v>54924</v>
      </c>
    </row>
    <row r="528" spans="1:38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48"/>
        <v>36-45</v>
      </c>
      <c r="AH528" t="str">
        <f t="shared" si="49"/>
        <v>Mid (3-6K)</v>
      </c>
      <c r="AI528" t="str">
        <f t="shared" si="50"/>
        <v>10+ yrs</v>
      </c>
      <c r="AJ528" t="str">
        <f t="shared" si="51"/>
        <v>Good</v>
      </c>
      <c r="AK528" t="str">
        <f t="shared" si="52"/>
        <v>Satisfied</v>
      </c>
      <c r="AL528">
        <f t="shared" si="53"/>
        <v>54636</v>
      </c>
    </row>
    <row r="529" spans="1:38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48"/>
        <v>26-35</v>
      </c>
      <c r="AH529" t="str">
        <f t="shared" si="49"/>
        <v>Mid (3-6K)</v>
      </c>
      <c r="AI529" t="str">
        <f t="shared" si="50"/>
        <v>6-10 yrs</v>
      </c>
      <c r="AJ529" t="str">
        <f t="shared" si="51"/>
        <v>Good</v>
      </c>
      <c r="AK529" t="str">
        <f t="shared" si="52"/>
        <v>Very Satisfied</v>
      </c>
      <c r="AL529">
        <f t="shared" si="53"/>
        <v>64752</v>
      </c>
    </row>
    <row r="530" spans="1:38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48"/>
        <v>46+</v>
      </c>
      <c r="AH530" t="str">
        <f t="shared" si="49"/>
        <v>High (6-10K)</v>
      </c>
      <c r="AI530" t="str">
        <f t="shared" si="50"/>
        <v>3-5 yrs</v>
      </c>
      <c r="AJ530" t="str">
        <f t="shared" si="51"/>
        <v>Good</v>
      </c>
      <c r="AK530" t="str">
        <f t="shared" si="52"/>
        <v>Satisfied</v>
      </c>
      <c r="AL530">
        <f t="shared" si="53"/>
        <v>81552</v>
      </c>
    </row>
    <row r="531" spans="1:38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48"/>
        <v>36-45</v>
      </c>
      <c r="AH531" t="str">
        <f t="shared" si="49"/>
        <v>High (6-10K)</v>
      </c>
      <c r="AI531" t="str">
        <f t="shared" si="50"/>
        <v>6-10 yrs</v>
      </c>
      <c r="AJ531" t="str">
        <f t="shared" si="51"/>
        <v>Good</v>
      </c>
      <c r="AK531" t="str">
        <f t="shared" si="52"/>
        <v>Very Satisfied</v>
      </c>
      <c r="AL531">
        <f t="shared" si="53"/>
        <v>91500</v>
      </c>
    </row>
    <row r="532" spans="1:38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48"/>
        <v>26-35</v>
      </c>
      <c r="AH532" t="str">
        <f t="shared" si="49"/>
        <v>High (6-10K)</v>
      </c>
      <c r="AI532" t="str">
        <f t="shared" si="50"/>
        <v>6-10 yrs</v>
      </c>
      <c r="AJ532" t="str">
        <f t="shared" si="51"/>
        <v>Good</v>
      </c>
      <c r="AK532" t="str">
        <f t="shared" si="52"/>
        <v>Very Dissatisfied</v>
      </c>
      <c r="AL532">
        <f t="shared" si="53"/>
        <v>88944</v>
      </c>
    </row>
    <row r="533" spans="1:38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48"/>
        <v>26-35</v>
      </c>
      <c r="AH533" t="str">
        <f t="shared" si="49"/>
        <v>Very High (10K+)</v>
      </c>
      <c r="AI533" t="str">
        <f t="shared" si="50"/>
        <v>6-10 yrs</v>
      </c>
      <c r="AJ533" t="str">
        <f t="shared" si="51"/>
        <v>Good</v>
      </c>
      <c r="AK533" t="str">
        <f t="shared" si="52"/>
        <v>Very Satisfied</v>
      </c>
      <c r="AL533">
        <f t="shared" si="53"/>
        <v>133908</v>
      </c>
    </row>
    <row r="534" spans="1:38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48"/>
        <v>46+</v>
      </c>
      <c r="AH534" t="str">
        <f t="shared" si="49"/>
        <v>Mid (3-6K)</v>
      </c>
      <c r="AI534" t="str">
        <f t="shared" si="50"/>
        <v>6-10 yrs</v>
      </c>
      <c r="AJ534" t="str">
        <f t="shared" si="51"/>
        <v>Good</v>
      </c>
      <c r="AK534" t="str">
        <f t="shared" si="52"/>
        <v>Very Dissatisfied</v>
      </c>
      <c r="AL534">
        <f t="shared" si="53"/>
        <v>59520</v>
      </c>
    </row>
    <row r="535" spans="1:38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48"/>
        <v>36-45</v>
      </c>
      <c r="AH535" t="str">
        <f t="shared" si="49"/>
        <v>Very High (10K+)</v>
      </c>
      <c r="AI535" t="str">
        <f t="shared" si="50"/>
        <v>10+ yrs</v>
      </c>
      <c r="AJ535" t="str">
        <f t="shared" si="51"/>
        <v>Excellent</v>
      </c>
      <c r="AK535" t="str">
        <f t="shared" si="52"/>
        <v>Very Dissatisfied</v>
      </c>
      <c r="AL535">
        <f t="shared" si="53"/>
        <v>125700</v>
      </c>
    </row>
    <row r="536" spans="1:38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48"/>
        <v>46+</v>
      </c>
      <c r="AH536" t="str">
        <f t="shared" si="49"/>
        <v>Very High (10K+)</v>
      </c>
      <c r="AI536" t="str">
        <f t="shared" si="50"/>
        <v>3-5 yrs</v>
      </c>
      <c r="AJ536" t="str">
        <f t="shared" si="51"/>
        <v>Good</v>
      </c>
      <c r="AK536" t="str">
        <f t="shared" si="52"/>
        <v>Satisfied</v>
      </c>
      <c r="AL536">
        <f t="shared" si="53"/>
        <v>177768</v>
      </c>
    </row>
    <row r="537" spans="1:38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48"/>
        <v>36-45</v>
      </c>
      <c r="AH537" t="str">
        <f t="shared" si="49"/>
        <v>Very High (10K+)</v>
      </c>
      <c r="AI537" t="str">
        <f t="shared" si="50"/>
        <v>10+ yrs</v>
      </c>
      <c r="AJ537" t="str">
        <f t="shared" si="51"/>
        <v>Good</v>
      </c>
      <c r="AK537" t="str">
        <f t="shared" si="52"/>
        <v>Very Satisfied</v>
      </c>
      <c r="AL537">
        <f t="shared" si="53"/>
        <v>229692</v>
      </c>
    </row>
    <row r="538" spans="1:38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48"/>
        <v>46+</v>
      </c>
      <c r="AH538" t="str">
        <f t="shared" si="49"/>
        <v>Mid (3-6K)</v>
      </c>
      <c r="AI538" t="str">
        <f t="shared" si="50"/>
        <v>0-2 yrs</v>
      </c>
      <c r="AJ538" t="str">
        <f t="shared" si="51"/>
        <v>Good</v>
      </c>
      <c r="AK538" t="str">
        <f t="shared" si="52"/>
        <v>Very Dissatisfied</v>
      </c>
      <c r="AL538">
        <f t="shared" si="53"/>
        <v>64860</v>
      </c>
    </row>
    <row r="539" spans="1:38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48"/>
        <v>26-35</v>
      </c>
      <c r="AH539" t="str">
        <f t="shared" si="49"/>
        <v>High (6-10K)</v>
      </c>
      <c r="AI539" t="str">
        <f t="shared" si="50"/>
        <v>6-10 yrs</v>
      </c>
      <c r="AJ539" t="str">
        <f t="shared" si="51"/>
        <v>Excellent</v>
      </c>
      <c r="AK539" t="str">
        <f t="shared" si="52"/>
        <v>Very Dissatisfied</v>
      </c>
      <c r="AL539">
        <f t="shared" si="53"/>
        <v>105516</v>
      </c>
    </row>
    <row r="540" spans="1:38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48"/>
        <v>36-45</v>
      </c>
      <c r="AH540" t="str">
        <f t="shared" si="49"/>
        <v>Very High (10K+)</v>
      </c>
      <c r="AI540" t="str">
        <f t="shared" si="50"/>
        <v>10+ yrs</v>
      </c>
      <c r="AJ540" t="str">
        <f t="shared" si="51"/>
        <v>Good</v>
      </c>
      <c r="AK540" t="str">
        <f t="shared" si="52"/>
        <v>Satisfied</v>
      </c>
      <c r="AL540">
        <f t="shared" si="53"/>
        <v>230268</v>
      </c>
    </row>
    <row r="541" spans="1:38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48"/>
        <v>46+</v>
      </c>
      <c r="AH541" t="str">
        <f t="shared" si="49"/>
        <v>Mid (3-6K)</v>
      </c>
      <c r="AI541" t="str">
        <f t="shared" si="50"/>
        <v>0-2 yrs</v>
      </c>
      <c r="AJ541" t="str">
        <f t="shared" si="51"/>
        <v>Good</v>
      </c>
      <c r="AK541" t="str">
        <f t="shared" si="52"/>
        <v>Dissatisfied</v>
      </c>
      <c r="AL541">
        <f t="shared" si="53"/>
        <v>46500</v>
      </c>
    </row>
    <row r="542" spans="1:38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48"/>
        <v>26-35</v>
      </c>
      <c r="AH542" t="str">
        <f t="shared" si="49"/>
        <v>Low (0-3K)</v>
      </c>
      <c r="AI542" t="str">
        <f t="shared" si="50"/>
        <v>6-10 yrs</v>
      </c>
      <c r="AJ542" t="str">
        <f t="shared" si="51"/>
        <v>Good</v>
      </c>
      <c r="AK542" t="str">
        <f t="shared" si="52"/>
        <v>Dissatisfied</v>
      </c>
      <c r="AL542">
        <f t="shared" si="53"/>
        <v>26592</v>
      </c>
    </row>
    <row r="543" spans="1:38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48"/>
        <v>36-45</v>
      </c>
      <c r="AH543" t="str">
        <f t="shared" si="49"/>
        <v>Very High (10K+)</v>
      </c>
      <c r="AI543" t="str">
        <f t="shared" si="50"/>
        <v>6-10 yrs</v>
      </c>
      <c r="AJ543" t="str">
        <f t="shared" si="51"/>
        <v>Good</v>
      </c>
      <c r="AK543" t="str">
        <f t="shared" si="52"/>
        <v>Very Dissatisfied</v>
      </c>
      <c r="AL543">
        <f t="shared" si="53"/>
        <v>140556</v>
      </c>
    </row>
    <row r="544" spans="1:38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48"/>
        <v>36-45</v>
      </c>
      <c r="AH544" t="str">
        <f t="shared" si="49"/>
        <v>High (6-10K)</v>
      </c>
      <c r="AI544" t="str">
        <f t="shared" si="50"/>
        <v>0-2 yrs</v>
      </c>
      <c r="AJ544" t="str">
        <f t="shared" si="51"/>
        <v>Good</v>
      </c>
      <c r="AK544" t="str">
        <f t="shared" si="52"/>
        <v>Satisfied</v>
      </c>
      <c r="AL544">
        <f t="shared" si="53"/>
        <v>94332</v>
      </c>
    </row>
    <row r="545" spans="1:38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48"/>
        <v>36-45</v>
      </c>
      <c r="AH545" t="str">
        <f t="shared" si="49"/>
        <v>Mid (3-6K)</v>
      </c>
      <c r="AI545" t="str">
        <f t="shared" si="50"/>
        <v>3-5 yrs</v>
      </c>
      <c r="AJ545" t="str">
        <f t="shared" si="51"/>
        <v>Good</v>
      </c>
      <c r="AK545" t="str">
        <f t="shared" si="52"/>
        <v>Satisfied</v>
      </c>
      <c r="AL545">
        <f t="shared" si="53"/>
        <v>44496</v>
      </c>
    </row>
    <row r="546" spans="1:38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48"/>
        <v>46+</v>
      </c>
      <c r="AH546" t="str">
        <f t="shared" si="49"/>
        <v>Very High (10K+)</v>
      </c>
      <c r="AI546" t="str">
        <f t="shared" si="50"/>
        <v>10+ yrs</v>
      </c>
      <c r="AJ546" t="str">
        <f t="shared" si="51"/>
        <v>Good</v>
      </c>
      <c r="AK546" t="str">
        <f t="shared" si="52"/>
        <v>Satisfied</v>
      </c>
      <c r="AL546">
        <f t="shared" si="53"/>
        <v>165240</v>
      </c>
    </row>
    <row r="547" spans="1:38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48"/>
        <v>26-35</v>
      </c>
      <c r="AH547" t="str">
        <f t="shared" si="49"/>
        <v>Mid (3-6K)</v>
      </c>
      <c r="AI547" t="str">
        <f t="shared" si="50"/>
        <v>6-10 yrs</v>
      </c>
      <c r="AJ547" t="str">
        <f t="shared" si="51"/>
        <v>Excellent</v>
      </c>
      <c r="AK547" t="str">
        <f t="shared" si="52"/>
        <v>Very Satisfied</v>
      </c>
      <c r="AL547">
        <f t="shared" si="53"/>
        <v>63648</v>
      </c>
    </row>
    <row r="548" spans="1:38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48"/>
        <v>26-35</v>
      </c>
      <c r="AH548" t="str">
        <f t="shared" si="49"/>
        <v>Low (0-3K)</v>
      </c>
      <c r="AI548" t="str">
        <f t="shared" si="50"/>
        <v>0-2 yrs</v>
      </c>
      <c r="AJ548" t="str">
        <f t="shared" si="51"/>
        <v>Good</v>
      </c>
      <c r="AK548" t="str">
        <f t="shared" si="52"/>
        <v>Satisfied</v>
      </c>
      <c r="AL548">
        <f t="shared" si="53"/>
        <v>31704</v>
      </c>
    </row>
    <row r="549" spans="1:38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48"/>
        <v>36-45</v>
      </c>
      <c r="AH549" t="str">
        <f t="shared" si="49"/>
        <v>Low (0-3K)</v>
      </c>
      <c r="AI549" t="str">
        <f t="shared" si="50"/>
        <v>0-2 yrs</v>
      </c>
      <c r="AJ549" t="str">
        <f t="shared" si="51"/>
        <v>Good</v>
      </c>
      <c r="AK549" t="str">
        <f t="shared" si="52"/>
        <v>Satisfied</v>
      </c>
      <c r="AL549">
        <f t="shared" si="53"/>
        <v>33108</v>
      </c>
    </row>
    <row r="550" spans="1:38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48"/>
        <v>36-45</v>
      </c>
      <c r="AH550" t="str">
        <f t="shared" si="49"/>
        <v>High (6-10K)</v>
      </c>
      <c r="AI550" t="str">
        <f t="shared" si="50"/>
        <v>0-2 yrs</v>
      </c>
      <c r="AJ550" t="str">
        <f t="shared" si="51"/>
        <v>Good</v>
      </c>
      <c r="AK550" t="str">
        <f t="shared" si="52"/>
        <v>Very Satisfied</v>
      </c>
      <c r="AL550">
        <f t="shared" si="53"/>
        <v>81648</v>
      </c>
    </row>
    <row r="551" spans="1:38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48"/>
        <v>26-35</v>
      </c>
      <c r="AH551" t="str">
        <f t="shared" si="49"/>
        <v>High (6-10K)</v>
      </c>
      <c r="AI551" t="str">
        <f t="shared" si="50"/>
        <v>3-5 yrs</v>
      </c>
      <c r="AJ551" t="str">
        <f t="shared" si="51"/>
        <v>Good</v>
      </c>
      <c r="AK551" t="str">
        <f t="shared" si="52"/>
        <v>Satisfied</v>
      </c>
      <c r="AL551">
        <f t="shared" si="53"/>
        <v>73704</v>
      </c>
    </row>
    <row r="552" spans="1:38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48"/>
        <v>20-25</v>
      </c>
      <c r="AH552" t="str">
        <f t="shared" si="49"/>
        <v>Low (0-3K)</v>
      </c>
      <c r="AI552" t="str">
        <f t="shared" si="50"/>
        <v>3-5 yrs</v>
      </c>
      <c r="AJ552" t="str">
        <f t="shared" si="51"/>
        <v>Good</v>
      </c>
      <c r="AK552" t="str">
        <f t="shared" si="52"/>
        <v>Very Dissatisfied</v>
      </c>
      <c r="AL552">
        <f t="shared" si="53"/>
        <v>30000</v>
      </c>
    </row>
    <row r="553" spans="1:38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48"/>
        <v>36-45</v>
      </c>
      <c r="AH553" t="str">
        <f t="shared" si="49"/>
        <v>High (6-10K)</v>
      </c>
      <c r="AI553" t="str">
        <f t="shared" si="50"/>
        <v>6-10 yrs</v>
      </c>
      <c r="AJ553" t="str">
        <f t="shared" si="51"/>
        <v>Good</v>
      </c>
      <c r="AK553" t="str">
        <f t="shared" si="52"/>
        <v>Dissatisfied</v>
      </c>
      <c r="AL553">
        <f t="shared" si="53"/>
        <v>76668</v>
      </c>
    </row>
    <row r="554" spans="1:38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48"/>
        <v>46+</v>
      </c>
      <c r="AH554" t="str">
        <f t="shared" si="49"/>
        <v>Very High (10K+)</v>
      </c>
      <c r="AI554" t="str">
        <f t="shared" si="50"/>
        <v>6-10 yrs</v>
      </c>
      <c r="AJ554" t="str">
        <f t="shared" si="51"/>
        <v>Good</v>
      </c>
      <c r="AK554" t="str">
        <f t="shared" si="52"/>
        <v>Very Satisfied</v>
      </c>
      <c r="AL554">
        <f t="shared" si="53"/>
        <v>133236</v>
      </c>
    </row>
    <row r="555" spans="1:38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48"/>
        <v>36-45</v>
      </c>
      <c r="AH555" t="str">
        <f t="shared" si="49"/>
        <v>Low (0-3K)</v>
      </c>
      <c r="AI555" t="str">
        <f t="shared" si="50"/>
        <v>3-5 yrs</v>
      </c>
      <c r="AJ555" t="str">
        <f t="shared" si="51"/>
        <v>Excellent</v>
      </c>
      <c r="AK555" t="str">
        <f t="shared" si="52"/>
        <v>Very Satisfied</v>
      </c>
      <c r="AL555">
        <f t="shared" si="53"/>
        <v>28104</v>
      </c>
    </row>
    <row r="556" spans="1:38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48"/>
        <v>26-35</v>
      </c>
      <c r="AH556" t="str">
        <f t="shared" si="49"/>
        <v>High (6-10K)</v>
      </c>
      <c r="AI556" t="str">
        <f t="shared" si="50"/>
        <v>6-10 yrs</v>
      </c>
      <c r="AJ556" t="str">
        <f t="shared" si="51"/>
        <v>Good</v>
      </c>
      <c r="AK556" t="str">
        <f t="shared" si="52"/>
        <v>Very Dissatisfied</v>
      </c>
      <c r="AL556">
        <f t="shared" si="53"/>
        <v>81732</v>
      </c>
    </row>
    <row r="557" spans="1:38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48"/>
        <v>26-35</v>
      </c>
      <c r="AH557" t="str">
        <f t="shared" si="49"/>
        <v>Low (0-3K)</v>
      </c>
      <c r="AI557" t="str">
        <f t="shared" si="50"/>
        <v>0-2 yrs</v>
      </c>
      <c r="AJ557" t="str">
        <f t="shared" si="51"/>
        <v>Good</v>
      </c>
      <c r="AK557" t="str">
        <f t="shared" si="52"/>
        <v>Dissatisfied</v>
      </c>
      <c r="AL557">
        <f t="shared" si="53"/>
        <v>27564</v>
      </c>
    </row>
    <row r="558" spans="1:38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48"/>
        <v>46+</v>
      </c>
      <c r="AH558" t="str">
        <f t="shared" si="49"/>
        <v>Low (0-3K)</v>
      </c>
      <c r="AI558" t="str">
        <f t="shared" si="50"/>
        <v>0-2 yrs</v>
      </c>
      <c r="AJ558" t="str">
        <f t="shared" si="51"/>
        <v>Good</v>
      </c>
      <c r="AK558" t="str">
        <f t="shared" si="52"/>
        <v>Very Satisfied</v>
      </c>
      <c r="AL558">
        <f t="shared" si="53"/>
        <v>29400</v>
      </c>
    </row>
    <row r="559" spans="1:38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48"/>
        <v>26-35</v>
      </c>
      <c r="AH559" t="str">
        <f t="shared" si="49"/>
        <v>Mid (3-6K)</v>
      </c>
      <c r="AI559" t="str">
        <f t="shared" si="50"/>
        <v>0-2 yrs</v>
      </c>
      <c r="AJ559" t="str">
        <f t="shared" si="51"/>
        <v>Good</v>
      </c>
      <c r="AK559" t="str">
        <f t="shared" si="52"/>
        <v>Very Dissatisfied</v>
      </c>
      <c r="AL559">
        <f t="shared" si="53"/>
        <v>61116</v>
      </c>
    </row>
    <row r="560" spans="1:38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48"/>
        <v>26-35</v>
      </c>
      <c r="AH560" t="str">
        <f t="shared" si="49"/>
        <v>Mid (3-6K)</v>
      </c>
      <c r="AI560" t="str">
        <f t="shared" si="50"/>
        <v>6-10 yrs</v>
      </c>
      <c r="AJ560" t="str">
        <f t="shared" si="51"/>
        <v>Good</v>
      </c>
      <c r="AK560" t="str">
        <f t="shared" si="52"/>
        <v>Very Satisfied</v>
      </c>
      <c r="AL560">
        <f t="shared" si="53"/>
        <v>63708</v>
      </c>
    </row>
    <row r="561" spans="1:38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48"/>
        <v>36-45</v>
      </c>
      <c r="AH561" t="str">
        <f t="shared" si="49"/>
        <v>Mid (3-6K)</v>
      </c>
      <c r="AI561" t="str">
        <f t="shared" si="50"/>
        <v>0-2 yrs</v>
      </c>
      <c r="AJ561" t="str">
        <f t="shared" si="51"/>
        <v>Good</v>
      </c>
      <c r="AK561" t="str">
        <f t="shared" si="52"/>
        <v>Satisfied</v>
      </c>
      <c r="AL561">
        <f t="shared" si="53"/>
        <v>36684</v>
      </c>
    </row>
    <row r="562" spans="1:38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48"/>
        <v>26-35</v>
      </c>
      <c r="AH562" t="str">
        <f t="shared" si="49"/>
        <v>Mid (3-6K)</v>
      </c>
      <c r="AI562" t="str">
        <f t="shared" si="50"/>
        <v>0-2 yrs</v>
      </c>
      <c r="AJ562" t="str">
        <f t="shared" si="51"/>
        <v>Good</v>
      </c>
      <c r="AK562" t="str">
        <f t="shared" si="52"/>
        <v>Very Dissatisfied</v>
      </c>
      <c r="AL562">
        <f t="shared" si="53"/>
        <v>61452</v>
      </c>
    </row>
    <row r="563" spans="1:38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48"/>
        <v>46+</v>
      </c>
      <c r="AH563" t="str">
        <f t="shared" si="49"/>
        <v>Very High (10K+)</v>
      </c>
      <c r="AI563" t="str">
        <f t="shared" si="50"/>
        <v>10+ yrs</v>
      </c>
      <c r="AJ563" t="str">
        <f t="shared" si="51"/>
        <v>Good</v>
      </c>
      <c r="AK563" t="str">
        <f t="shared" si="52"/>
        <v>Very Dissatisfied</v>
      </c>
      <c r="AL563">
        <f t="shared" si="53"/>
        <v>202272</v>
      </c>
    </row>
    <row r="564" spans="1:38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48"/>
        <v>26-35</v>
      </c>
      <c r="AH564" t="str">
        <f t="shared" si="49"/>
        <v>Low (0-3K)</v>
      </c>
      <c r="AI564" t="str">
        <f t="shared" si="50"/>
        <v>6-10 yrs</v>
      </c>
      <c r="AJ564" t="str">
        <f t="shared" si="51"/>
        <v>Good</v>
      </c>
      <c r="AK564" t="str">
        <f t="shared" si="52"/>
        <v>Very Satisfied</v>
      </c>
      <c r="AL564">
        <f t="shared" si="53"/>
        <v>32232</v>
      </c>
    </row>
    <row r="565" spans="1:38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48"/>
        <v>20-25</v>
      </c>
      <c r="AH565" t="str">
        <f t="shared" si="49"/>
        <v>High (6-10K)</v>
      </c>
      <c r="AI565" t="str">
        <f t="shared" si="50"/>
        <v>6-10 yrs</v>
      </c>
      <c r="AJ565" t="str">
        <f t="shared" si="51"/>
        <v>Excellent</v>
      </c>
      <c r="AK565" t="str">
        <f t="shared" si="52"/>
        <v>Very Satisfied</v>
      </c>
      <c r="AL565">
        <f t="shared" si="53"/>
        <v>74160</v>
      </c>
    </row>
    <row r="566" spans="1:38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48"/>
        <v>36-45</v>
      </c>
      <c r="AH566" t="str">
        <f t="shared" si="49"/>
        <v>High (6-10K)</v>
      </c>
      <c r="AI566" t="str">
        <f t="shared" si="50"/>
        <v>6-10 yrs</v>
      </c>
      <c r="AJ566" t="str">
        <f t="shared" si="51"/>
        <v>Good</v>
      </c>
      <c r="AK566" t="str">
        <f t="shared" si="52"/>
        <v>Satisfied</v>
      </c>
      <c r="AL566">
        <f t="shared" si="53"/>
        <v>79584</v>
      </c>
    </row>
    <row r="567" spans="1:38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48"/>
        <v>20-25</v>
      </c>
      <c r="AH567" t="str">
        <f t="shared" si="49"/>
        <v>Mid (3-6K)</v>
      </c>
      <c r="AI567" t="str">
        <f t="shared" si="50"/>
        <v>0-2 yrs</v>
      </c>
      <c r="AJ567" t="str">
        <f t="shared" si="51"/>
        <v>Good</v>
      </c>
      <c r="AK567" t="str">
        <f t="shared" si="52"/>
        <v>Satisfied</v>
      </c>
      <c r="AL567">
        <f t="shared" si="53"/>
        <v>42060</v>
      </c>
    </row>
    <row r="568" spans="1:38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48"/>
        <v>46+</v>
      </c>
      <c r="AH568" t="str">
        <f t="shared" si="49"/>
        <v>High (6-10K)</v>
      </c>
      <c r="AI568" t="str">
        <f t="shared" si="50"/>
        <v>3-5 yrs</v>
      </c>
      <c r="AJ568" t="str">
        <f t="shared" si="51"/>
        <v>Good</v>
      </c>
      <c r="AK568" t="str">
        <f t="shared" si="52"/>
        <v>Satisfied</v>
      </c>
      <c r="AL568">
        <f t="shared" si="53"/>
        <v>76764</v>
      </c>
    </row>
    <row r="569" spans="1:38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48"/>
        <v>26-35</v>
      </c>
      <c r="AH569" t="str">
        <f t="shared" si="49"/>
        <v>High (6-10K)</v>
      </c>
      <c r="AI569" t="str">
        <f t="shared" si="50"/>
        <v>6-10 yrs</v>
      </c>
      <c r="AJ569" t="str">
        <f t="shared" si="51"/>
        <v>Excellent</v>
      </c>
      <c r="AK569" t="str">
        <f t="shared" si="52"/>
        <v>Very Satisfied</v>
      </c>
      <c r="AL569">
        <f t="shared" si="53"/>
        <v>75288</v>
      </c>
    </row>
    <row r="570" spans="1:38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48"/>
        <v>46+</v>
      </c>
      <c r="AH570" t="str">
        <f t="shared" si="49"/>
        <v>Very High (10K+)</v>
      </c>
      <c r="AI570" t="str">
        <f t="shared" si="50"/>
        <v>3-5 yrs</v>
      </c>
      <c r="AJ570" t="str">
        <f t="shared" si="51"/>
        <v>Good</v>
      </c>
      <c r="AK570" t="str">
        <f t="shared" si="52"/>
        <v>Very Dissatisfied</v>
      </c>
      <c r="AL570">
        <f t="shared" si="53"/>
        <v>238308</v>
      </c>
    </row>
    <row r="571" spans="1:38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48"/>
        <v>36-45</v>
      </c>
      <c r="AH571" t="str">
        <f t="shared" si="49"/>
        <v>High (6-10K)</v>
      </c>
      <c r="AI571" t="str">
        <f t="shared" si="50"/>
        <v>6-10 yrs</v>
      </c>
      <c r="AJ571" t="str">
        <f t="shared" si="51"/>
        <v>Good</v>
      </c>
      <c r="AK571" t="str">
        <f t="shared" si="52"/>
        <v>Very Dissatisfied</v>
      </c>
      <c r="AL571">
        <f t="shared" si="53"/>
        <v>91044</v>
      </c>
    </row>
    <row r="572" spans="1:38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48"/>
        <v>46+</v>
      </c>
      <c r="AH572" t="str">
        <f t="shared" si="49"/>
        <v>Mid (3-6K)</v>
      </c>
      <c r="AI572" t="str">
        <f t="shared" si="50"/>
        <v>3-5 yrs</v>
      </c>
      <c r="AJ572" t="str">
        <f t="shared" si="51"/>
        <v>Good</v>
      </c>
      <c r="AK572" t="str">
        <f t="shared" si="52"/>
        <v>Very Satisfied</v>
      </c>
      <c r="AL572">
        <f t="shared" si="53"/>
        <v>51096</v>
      </c>
    </row>
    <row r="573" spans="1:38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48"/>
        <v>26-35</v>
      </c>
      <c r="AH573" t="str">
        <f t="shared" si="49"/>
        <v>Mid (3-6K)</v>
      </c>
      <c r="AI573" t="str">
        <f t="shared" si="50"/>
        <v>0-2 yrs</v>
      </c>
      <c r="AJ573" t="str">
        <f t="shared" si="51"/>
        <v>Good</v>
      </c>
      <c r="AK573" t="str">
        <f t="shared" si="52"/>
        <v>Very Satisfied</v>
      </c>
      <c r="AL573">
        <f t="shared" si="53"/>
        <v>52368</v>
      </c>
    </row>
    <row r="574" spans="1:38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48"/>
        <v>26-35</v>
      </c>
      <c r="AH574" t="str">
        <f t="shared" si="49"/>
        <v>Mid (3-6K)</v>
      </c>
      <c r="AI574" t="str">
        <f t="shared" si="50"/>
        <v>6-10 yrs</v>
      </c>
      <c r="AJ574" t="str">
        <f t="shared" si="51"/>
        <v>Good</v>
      </c>
      <c r="AK574" t="str">
        <f t="shared" si="52"/>
        <v>Satisfied</v>
      </c>
      <c r="AL574">
        <f t="shared" si="53"/>
        <v>52020</v>
      </c>
    </row>
    <row r="575" spans="1:38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48"/>
        <v>26-35</v>
      </c>
      <c r="AH575" t="str">
        <f t="shared" si="49"/>
        <v>Mid (3-6K)</v>
      </c>
      <c r="AI575" t="str">
        <f t="shared" si="50"/>
        <v>3-5 yrs</v>
      </c>
      <c r="AJ575" t="str">
        <f t="shared" si="51"/>
        <v>Good</v>
      </c>
      <c r="AK575" t="str">
        <f t="shared" si="52"/>
        <v>Very Dissatisfied</v>
      </c>
      <c r="AL575">
        <f t="shared" si="53"/>
        <v>63912</v>
      </c>
    </row>
    <row r="576" spans="1:38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48"/>
        <v>26-35</v>
      </c>
      <c r="AH576" t="str">
        <f t="shared" si="49"/>
        <v>Mid (3-6K)</v>
      </c>
      <c r="AI576" t="str">
        <f t="shared" si="50"/>
        <v>3-5 yrs</v>
      </c>
      <c r="AJ576" t="str">
        <f t="shared" si="51"/>
        <v>Good</v>
      </c>
      <c r="AK576" t="str">
        <f t="shared" si="52"/>
        <v>Very Satisfied</v>
      </c>
      <c r="AL576">
        <f t="shared" si="53"/>
        <v>39360</v>
      </c>
    </row>
    <row r="577" spans="1:38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48"/>
        <v>46+</v>
      </c>
      <c r="AH577" t="str">
        <f t="shared" si="49"/>
        <v>Mid (3-6K)</v>
      </c>
      <c r="AI577" t="str">
        <f t="shared" si="50"/>
        <v>3-5 yrs</v>
      </c>
      <c r="AJ577" t="str">
        <f t="shared" si="51"/>
        <v>Good</v>
      </c>
      <c r="AK577" t="str">
        <f t="shared" si="52"/>
        <v>Very Dissatisfied</v>
      </c>
      <c r="AL577">
        <f t="shared" si="53"/>
        <v>65820</v>
      </c>
    </row>
    <row r="578" spans="1:38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si="48"/>
        <v>26-35</v>
      </c>
      <c r="AH578" t="str">
        <f t="shared" si="49"/>
        <v>Mid (3-6K)</v>
      </c>
      <c r="AI578" t="str">
        <f t="shared" si="50"/>
        <v>3-5 yrs</v>
      </c>
      <c r="AJ578" t="str">
        <f t="shared" si="51"/>
        <v>Good</v>
      </c>
      <c r="AK578" t="str">
        <f t="shared" si="52"/>
        <v>Very Satisfied</v>
      </c>
      <c r="AL578">
        <f t="shared" si="53"/>
        <v>52104</v>
      </c>
    </row>
    <row r="579" spans="1:38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ref="AG579:AG642" si="54">IF(A579&lt;=25,"20-25",IF(A579&lt;=35,"26-35",IF(A579&lt;=45,"36-45","46+")))</f>
        <v>36-45</v>
      </c>
      <c r="AH579" t="str">
        <f t="shared" ref="AH579:AH642" si="55">IF(R579&lt;=3000,"Low (0-3K)",IF(R579&lt;=6000,"Mid (3-6K)",IF(R579&lt;=10000,"High (6-10K)","Very High (10K+)")))</f>
        <v>Low (0-3K)</v>
      </c>
      <c r="AI579" t="str">
        <f t="shared" ref="AI579:AI642" si="56">IF(AC579&lt;=2,"0-2 yrs",IF(AC579&lt;=5,"3-5 yrs",IF(AC579&lt;=10,"6-10 yrs","10+ yrs")))</f>
        <v>3-5 yrs</v>
      </c>
      <c r="AJ579" t="str">
        <f t="shared" ref="AJ579:AJ642" si="57">IF(W579=4,"Excellent",IF(W579=3,"Good",IF(W579=2,"Needs Improvement","Poor")))</f>
        <v>Good</v>
      </c>
      <c r="AK579" t="str">
        <f t="shared" ref="AK579:AK642" si="58">IF(P579=4,"Very Satisfied",IF(P579=3,"Satisfied",IF(P579=2,"Dissatisfied","Very Dissatisfied")))</f>
        <v>Very Dissatisfied</v>
      </c>
      <c r="AL579">
        <f t="shared" ref="AL579:AL642" si="59">R579*12</f>
        <v>33384</v>
      </c>
    </row>
    <row r="580" spans="1:38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54"/>
        <v>36-45</v>
      </c>
      <c r="AH580" t="str">
        <f t="shared" si="55"/>
        <v>Mid (3-6K)</v>
      </c>
      <c r="AI580" t="str">
        <f t="shared" si="56"/>
        <v>10+ yrs</v>
      </c>
      <c r="AJ580" t="str">
        <f t="shared" si="57"/>
        <v>Good</v>
      </c>
      <c r="AK580" t="str">
        <f t="shared" si="58"/>
        <v>Very Dissatisfied</v>
      </c>
      <c r="AL580">
        <f t="shared" si="59"/>
        <v>71760</v>
      </c>
    </row>
    <row r="581" spans="1:38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54"/>
        <v>26-35</v>
      </c>
      <c r="AH581" t="str">
        <f t="shared" si="55"/>
        <v>Mid (3-6K)</v>
      </c>
      <c r="AI581" t="str">
        <f t="shared" si="56"/>
        <v>6-10 yrs</v>
      </c>
      <c r="AJ581" t="str">
        <f t="shared" si="57"/>
        <v>Good</v>
      </c>
      <c r="AK581" t="str">
        <f t="shared" si="58"/>
        <v>Very Dissatisfied</v>
      </c>
      <c r="AL581">
        <f t="shared" si="59"/>
        <v>52572</v>
      </c>
    </row>
    <row r="582" spans="1:38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54"/>
        <v>26-35</v>
      </c>
      <c r="AH582" t="str">
        <f t="shared" si="55"/>
        <v>Low (0-3K)</v>
      </c>
      <c r="AI582" t="str">
        <f t="shared" si="56"/>
        <v>3-5 yrs</v>
      </c>
      <c r="AJ582" t="str">
        <f t="shared" si="57"/>
        <v>Good</v>
      </c>
      <c r="AK582" t="str">
        <f t="shared" si="58"/>
        <v>Very Satisfied</v>
      </c>
      <c r="AL582">
        <f t="shared" si="59"/>
        <v>30864</v>
      </c>
    </row>
    <row r="583" spans="1:38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54"/>
        <v>26-35</v>
      </c>
      <c r="AH583" t="str">
        <f t="shared" si="55"/>
        <v>Mid (3-6K)</v>
      </c>
      <c r="AI583" t="str">
        <f t="shared" si="56"/>
        <v>0-2 yrs</v>
      </c>
      <c r="AJ583" t="str">
        <f t="shared" si="57"/>
        <v>Excellent</v>
      </c>
      <c r="AK583" t="str">
        <f t="shared" si="58"/>
        <v>Satisfied</v>
      </c>
      <c r="AL583">
        <f t="shared" si="59"/>
        <v>45996</v>
      </c>
    </row>
    <row r="584" spans="1:38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54"/>
        <v>36-45</v>
      </c>
      <c r="AH584" t="str">
        <f t="shared" si="55"/>
        <v>Mid (3-6K)</v>
      </c>
      <c r="AI584" t="str">
        <f t="shared" si="56"/>
        <v>6-10 yrs</v>
      </c>
      <c r="AJ584" t="str">
        <f t="shared" si="57"/>
        <v>Excellent</v>
      </c>
      <c r="AK584" t="str">
        <f t="shared" si="58"/>
        <v>Dissatisfied</v>
      </c>
      <c r="AL584">
        <f t="shared" si="59"/>
        <v>50928</v>
      </c>
    </row>
    <row r="585" spans="1:38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54"/>
        <v>26-35</v>
      </c>
      <c r="AH585" t="str">
        <f t="shared" si="55"/>
        <v>High (6-10K)</v>
      </c>
      <c r="AI585" t="str">
        <f t="shared" si="56"/>
        <v>3-5 yrs</v>
      </c>
      <c r="AJ585" t="str">
        <f t="shared" si="57"/>
        <v>Good</v>
      </c>
      <c r="AK585" t="str">
        <f t="shared" si="58"/>
        <v>Very Dissatisfied</v>
      </c>
      <c r="AL585">
        <f t="shared" si="59"/>
        <v>78000</v>
      </c>
    </row>
    <row r="586" spans="1:38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54"/>
        <v>36-45</v>
      </c>
      <c r="AH586" t="str">
        <f t="shared" si="55"/>
        <v>Very High (10K+)</v>
      </c>
      <c r="AI586" t="str">
        <f t="shared" si="56"/>
        <v>10+ yrs</v>
      </c>
      <c r="AJ586" t="str">
        <f t="shared" si="57"/>
        <v>Good</v>
      </c>
      <c r="AK586" t="str">
        <f t="shared" si="58"/>
        <v>Very Satisfied</v>
      </c>
      <c r="AL586">
        <f t="shared" si="59"/>
        <v>221160</v>
      </c>
    </row>
    <row r="587" spans="1:38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54"/>
        <v>20-25</v>
      </c>
      <c r="AH587" t="str">
        <f t="shared" si="55"/>
        <v>Low (0-3K)</v>
      </c>
      <c r="AI587" t="str">
        <f t="shared" si="56"/>
        <v>0-2 yrs</v>
      </c>
      <c r="AJ587" t="str">
        <f t="shared" si="57"/>
        <v>Excellent</v>
      </c>
      <c r="AK587" t="str">
        <f t="shared" si="58"/>
        <v>Very Dissatisfied</v>
      </c>
      <c r="AL587">
        <f t="shared" si="59"/>
        <v>19212</v>
      </c>
    </row>
    <row r="588" spans="1:38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54"/>
        <v>20-25</v>
      </c>
      <c r="AH588" t="str">
        <f t="shared" si="55"/>
        <v>Low (0-3K)</v>
      </c>
      <c r="AI588" t="str">
        <f t="shared" si="56"/>
        <v>0-2 yrs</v>
      </c>
      <c r="AJ588" t="str">
        <f t="shared" si="57"/>
        <v>Good</v>
      </c>
      <c r="AK588" t="str">
        <f t="shared" si="58"/>
        <v>Dissatisfied</v>
      </c>
      <c r="AL588">
        <f t="shared" si="59"/>
        <v>32328</v>
      </c>
    </row>
    <row r="589" spans="1:38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54"/>
        <v>46+</v>
      </c>
      <c r="AH589" t="str">
        <f t="shared" si="55"/>
        <v>Mid (3-6K)</v>
      </c>
      <c r="AI589" t="str">
        <f t="shared" si="56"/>
        <v>3-5 yrs</v>
      </c>
      <c r="AJ589" t="str">
        <f t="shared" si="57"/>
        <v>Excellent</v>
      </c>
      <c r="AK589" t="str">
        <f t="shared" si="58"/>
        <v>Satisfied</v>
      </c>
      <c r="AL589">
        <f t="shared" si="59"/>
        <v>37788</v>
      </c>
    </row>
    <row r="590" spans="1:38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54"/>
        <v>46+</v>
      </c>
      <c r="AH590" t="str">
        <f t="shared" si="55"/>
        <v>Very High (10K+)</v>
      </c>
      <c r="AI590" t="str">
        <f t="shared" si="56"/>
        <v>3-5 yrs</v>
      </c>
      <c r="AJ590" t="str">
        <f t="shared" si="57"/>
        <v>Good</v>
      </c>
      <c r="AK590" t="str">
        <f t="shared" si="58"/>
        <v>Satisfied</v>
      </c>
      <c r="AL590">
        <f t="shared" si="59"/>
        <v>211668</v>
      </c>
    </row>
    <row r="591" spans="1:38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54"/>
        <v>26-35</v>
      </c>
      <c r="AH591" t="str">
        <f t="shared" si="55"/>
        <v>Low (0-3K)</v>
      </c>
      <c r="AI591" t="str">
        <f t="shared" si="56"/>
        <v>0-2 yrs</v>
      </c>
      <c r="AJ591" t="str">
        <f t="shared" si="57"/>
        <v>Good</v>
      </c>
      <c r="AK591" t="str">
        <f t="shared" si="58"/>
        <v>Very Dissatisfied</v>
      </c>
      <c r="AL591">
        <f t="shared" si="59"/>
        <v>27828</v>
      </c>
    </row>
    <row r="592" spans="1:38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54"/>
        <v>26-35</v>
      </c>
      <c r="AH592" t="str">
        <f t="shared" si="55"/>
        <v>Very High (10K+)</v>
      </c>
      <c r="AI592" t="str">
        <f t="shared" si="56"/>
        <v>10+ yrs</v>
      </c>
      <c r="AJ592" t="str">
        <f t="shared" si="57"/>
        <v>Good</v>
      </c>
      <c r="AK592" t="str">
        <f t="shared" si="58"/>
        <v>Satisfied</v>
      </c>
      <c r="AL592">
        <f t="shared" si="59"/>
        <v>140292</v>
      </c>
    </row>
    <row r="593" spans="1:38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54"/>
        <v>26-35</v>
      </c>
      <c r="AH593" t="str">
        <f t="shared" si="55"/>
        <v>Mid (3-6K)</v>
      </c>
      <c r="AI593" t="str">
        <f t="shared" si="56"/>
        <v>3-5 yrs</v>
      </c>
      <c r="AJ593" t="str">
        <f t="shared" si="57"/>
        <v>Good</v>
      </c>
      <c r="AK593" t="str">
        <f t="shared" si="58"/>
        <v>Very Dissatisfied</v>
      </c>
      <c r="AL593">
        <f t="shared" si="59"/>
        <v>63888</v>
      </c>
    </row>
    <row r="594" spans="1:38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54"/>
        <v>46+</v>
      </c>
      <c r="AH594" t="str">
        <f t="shared" si="55"/>
        <v>Very High (10K+)</v>
      </c>
      <c r="AI594" t="str">
        <f t="shared" si="56"/>
        <v>10+ yrs</v>
      </c>
      <c r="AJ594" t="str">
        <f t="shared" si="57"/>
        <v>Good</v>
      </c>
      <c r="AK594" t="str">
        <f t="shared" si="58"/>
        <v>Very Satisfied</v>
      </c>
      <c r="AL594">
        <f t="shared" si="59"/>
        <v>201024</v>
      </c>
    </row>
    <row r="595" spans="1:38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54"/>
        <v>36-45</v>
      </c>
      <c r="AH595" t="str">
        <f t="shared" si="55"/>
        <v>Mid (3-6K)</v>
      </c>
      <c r="AI595" t="str">
        <f t="shared" si="56"/>
        <v>6-10 yrs</v>
      </c>
      <c r="AJ595" t="str">
        <f t="shared" si="57"/>
        <v>Good</v>
      </c>
      <c r="AK595" t="str">
        <f t="shared" si="58"/>
        <v>Dissatisfied</v>
      </c>
      <c r="AL595">
        <f t="shared" si="59"/>
        <v>62736</v>
      </c>
    </row>
    <row r="596" spans="1:38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54"/>
        <v>26-35</v>
      </c>
      <c r="AH596" t="str">
        <f t="shared" si="55"/>
        <v>Low (0-3K)</v>
      </c>
      <c r="AI596" t="str">
        <f t="shared" si="56"/>
        <v>6-10 yrs</v>
      </c>
      <c r="AJ596" t="str">
        <f t="shared" si="57"/>
        <v>Excellent</v>
      </c>
      <c r="AK596" t="str">
        <f t="shared" si="58"/>
        <v>Satisfied</v>
      </c>
      <c r="AL596">
        <f t="shared" si="59"/>
        <v>32400</v>
      </c>
    </row>
    <row r="597" spans="1:38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54"/>
        <v>46+</v>
      </c>
      <c r="AH597" t="str">
        <f t="shared" si="55"/>
        <v>Very High (10K+)</v>
      </c>
      <c r="AI597" t="str">
        <f t="shared" si="56"/>
        <v>10+ yrs</v>
      </c>
      <c r="AJ597" t="str">
        <f t="shared" si="57"/>
        <v>Good</v>
      </c>
      <c r="AK597" t="str">
        <f t="shared" si="58"/>
        <v>Dissatisfied</v>
      </c>
      <c r="AL597">
        <f t="shared" si="59"/>
        <v>230952</v>
      </c>
    </row>
    <row r="598" spans="1:38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54"/>
        <v>26-35</v>
      </c>
      <c r="AH598" t="str">
        <f t="shared" si="55"/>
        <v>Low (0-3K)</v>
      </c>
      <c r="AI598" t="str">
        <f t="shared" si="56"/>
        <v>0-2 yrs</v>
      </c>
      <c r="AJ598" t="str">
        <f t="shared" si="57"/>
        <v>Good</v>
      </c>
      <c r="AK598" t="str">
        <f t="shared" si="58"/>
        <v>Satisfied</v>
      </c>
      <c r="AL598">
        <f t="shared" si="59"/>
        <v>30072</v>
      </c>
    </row>
    <row r="599" spans="1:38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54"/>
        <v>36-45</v>
      </c>
      <c r="AH599" t="str">
        <f t="shared" si="55"/>
        <v>High (6-10K)</v>
      </c>
      <c r="AI599" t="str">
        <f t="shared" si="56"/>
        <v>3-5 yrs</v>
      </c>
      <c r="AJ599" t="str">
        <f t="shared" si="57"/>
        <v>Good</v>
      </c>
      <c r="AK599" t="str">
        <f t="shared" si="58"/>
        <v>Very Satisfied</v>
      </c>
      <c r="AL599">
        <f t="shared" si="59"/>
        <v>72744</v>
      </c>
    </row>
    <row r="600" spans="1:38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54"/>
        <v>26-35</v>
      </c>
      <c r="AH600" t="str">
        <f t="shared" si="55"/>
        <v>Mid (3-6K)</v>
      </c>
      <c r="AI600" t="str">
        <f t="shared" si="56"/>
        <v>0-2 yrs</v>
      </c>
      <c r="AJ600" t="str">
        <f t="shared" si="57"/>
        <v>Good</v>
      </c>
      <c r="AK600" t="str">
        <f t="shared" si="58"/>
        <v>Satisfied</v>
      </c>
      <c r="AL600">
        <f t="shared" si="59"/>
        <v>52584</v>
      </c>
    </row>
    <row r="601" spans="1:38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54"/>
        <v>36-45</v>
      </c>
      <c r="AH601" t="str">
        <f t="shared" si="55"/>
        <v>Low (0-3K)</v>
      </c>
      <c r="AI601" t="str">
        <f t="shared" si="56"/>
        <v>3-5 yrs</v>
      </c>
      <c r="AJ601" t="str">
        <f t="shared" si="57"/>
        <v>Good</v>
      </c>
      <c r="AK601" t="str">
        <f t="shared" si="58"/>
        <v>Dissatisfied</v>
      </c>
      <c r="AL601">
        <f t="shared" si="59"/>
        <v>25716</v>
      </c>
    </row>
    <row r="602" spans="1:38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54"/>
        <v>26-35</v>
      </c>
      <c r="AH602" t="str">
        <f t="shared" si="55"/>
        <v>High (6-10K)</v>
      </c>
      <c r="AI602" t="str">
        <f t="shared" si="56"/>
        <v>10+ yrs</v>
      </c>
      <c r="AJ602" t="str">
        <f t="shared" si="57"/>
        <v>Good</v>
      </c>
      <c r="AK602" t="str">
        <f t="shared" si="58"/>
        <v>Satisfied</v>
      </c>
      <c r="AL602">
        <f t="shared" si="59"/>
        <v>73944</v>
      </c>
    </row>
    <row r="603" spans="1:38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54"/>
        <v>36-45</v>
      </c>
      <c r="AH603" t="str">
        <f t="shared" si="55"/>
        <v>Mid (3-6K)</v>
      </c>
      <c r="AI603" t="str">
        <f t="shared" si="56"/>
        <v>0-2 yrs</v>
      </c>
      <c r="AJ603" t="str">
        <f t="shared" si="57"/>
        <v>Good</v>
      </c>
      <c r="AK603" t="str">
        <f t="shared" si="58"/>
        <v>Satisfied</v>
      </c>
      <c r="AL603">
        <f t="shared" si="59"/>
        <v>61128</v>
      </c>
    </row>
    <row r="604" spans="1:38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54"/>
        <v>26-35</v>
      </c>
      <c r="AH604" t="str">
        <f t="shared" si="55"/>
        <v>High (6-10K)</v>
      </c>
      <c r="AI604" t="str">
        <f t="shared" si="56"/>
        <v>0-2 yrs</v>
      </c>
      <c r="AJ604" t="str">
        <f t="shared" si="57"/>
        <v>Excellent</v>
      </c>
      <c r="AK604" t="str">
        <f t="shared" si="58"/>
        <v>Very Satisfied</v>
      </c>
      <c r="AL604">
        <f t="shared" si="59"/>
        <v>82524</v>
      </c>
    </row>
    <row r="605" spans="1:38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54"/>
        <v>36-45</v>
      </c>
      <c r="AH605" t="str">
        <f t="shared" si="55"/>
        <v>Low (0-3K)</v>
      </c>
      <c r="AI605" t="str">
        <f t="shared" si="56"/>
        <v>0-2 yrs</v>
      </c>
      <c r="AJ605" t="str">
        <f t="shared" si="57"/>
        <v>Good</v>
      </c>
      <c r="AK605" t="str">
        <f t="shared" si="58"/>
        <v>Satisfied</v>
      </c>
      <c r="AL605">
        <f t="shared" si="59"/>
        <v>27288</v>
      </c>
    </row>
    <row r="606" spans="1:38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54"/>
        <v>36-45</v>
      </c>
      <c r="AH606" t="str">
        <f t="shared" si="55"/>
        <v>Mid (3-6K)</v>
      </c>
      <c r="AI606" t="str">
        <f t="shared" si="56"/>
        <v>6-10 yrs</v>
      </c>
      <c r="AJ606" t="str">
        <f t="shared" si="57"/>
        <v>Good</v>
      </c>
      <c r="AK606" t="str">
        <f t="shared" si="58"/>
        <v>Dissatisfied</v>
      </c>
      <c r="AL606">
        <f t="shared" si="59"/>
        <v>53208</v>
      </c>
    </row>
    <row r="607" spans="1:38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54"/>
        <v>36-45</v>
      </c>
      <c r="AH607" t="str">
        <f t="shared" si="55"/>
        <v>High (6-10K)</v>
      </c>
      <c r="AI607" t="str">
        <f t="shared" si="56"/>
        <v>3-5 yrs</v>
      </c>
      <c r="AJ607" t="str">
        <f t="shared" si="57"/>
        <v>Good</v>
      </c>
      <c r="AK607" t="str">
        <f t="shared" si="58"/>
        <v>Very Dissatisfied</v>
      </c>
      <c r="AL607">
        <f t="shared" si="59"/>
        <v>75456</v>
      </c>
    </row>
    <row r="608" spans="1:38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54"/>
        <v>26-35</v>
      </c>
      <c r="AH608" t="str">
        <f t="shared" si="55"/>
        <v>Low (0-3K)</v>
      </c>
      <c r="AI608" t="str">
        <f t="shared" si="56"/>
        <v>3-5 yrs</v>
      </c>
      <c r="AJ608" t="str">
        <f t="shared" si="57"/>
        <v>Good</v>
      </c>
      <c r="AK608" t="str">
        <f t="shared" si="58"/>
        <v>Very Satisfied</v>
      </c>
      <c r="AL608">
        <f t="shared" si="59"/>
        <v>30636</v>
      </c>
    </row>
    <row r="609" spans="1:38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54"/>
        <v>46+</v>
      </c>
      <c r="AH609" t="str">
        <f t="shared" si="55"/>
        <v>High (6-10K)</v>
      </c>
      <c r="AI609" t="str">
        <f t="shared" si="56"/>
        <v>6-10 yrs</v>
      </c>
      <c r="AJ609" t="str">
        <f t="shared" si="57"/>
        <v>Good</v>
      </c>
      <c r="AK609" t="str">
        <f t="shared" si="58"/>
        <v>Very Satisfied</v>
      </c>
      <c r="AL609">
        <f t="shared" si="59"/>
        <v>91848</v>
      </c>
    </row>
    <row r="610" spans="1:38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54"/>
        <v>46+</v>
      </c>
      <c r="AH610" t="str">
        <f t="shared" si="55"/>
        <v>Mid (3-6K)</v>
      </c>
      <c r="AI610" t="str">
        <f t="shared" si="56"/>
        <v>6-10 yrs</v>
      </c>
      <c r="AJ610" t="str">
        <f t="shared" si="57"/>
        <v>Good</v>
      </c>
      <c r="AK610" t="str">
        <f t="shared" si="58"/>
        <v>Very Satisfied</v>
      </c>
      <c r="AL610">
        <f t="shared" si="59"/>
        <v>61920</v>
      </c>
    </row>
    <row r="611" spans="1:38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54"/>
        <v>36-45</v>
      </c>
      <c r="AH611" t="str">
        <f t="shared" si="55"/>
        <v>Very High (10K+)</v>
      </c>
      <c r="AI611" t="str">
        <f t="shared" si="56"/>
        <v>3-5 yrs</v>
      </c>
      <c r="AJ611" t="str">
        <f t="shared" si="57"/>
        <v>Excellent</v>
      </c>
      <c r="AK611" t="str">
        <f t="shared" si="58"/>
        <v>Very Dissatisfied</v>
      </c>
      <c r="AL611">
        <f t="shared" si="59"/>
        <v>205908</v>
      </c>
    </row>
    <row r="612" spans="1:38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54"/>
        <v>26-35</v>
      </c>
      <c r="AH612" t="str">
        <f t="shared" si="55"/>
        <v>Very High (10K+)</v>
      </c>
      <c r="AI612" t="str">
        <f t="shared" si="56"/>
        <v>6-10 yrs</v>
      </c>
      <c r="AJ612" t="str">
        <f t="shared" si="57"/>
        <v>Good</v>
      </c>
      <c r="AK612" t="str">
        <f t="shared" si="58"/>
        <v>Very Satisfied</v>
      </c>
      <c r="AL612">
        <f t="shared" si="59"/>
        <v>153696</v>
      </c>
    </row>
    <row r="613" spans="1:38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54"/>
        <v>26-35</v>
      </c>
      <c r="AH613" t="str">
        <f t="shared" si="55"/>
        <v>Very High (10K+)</v>
      </c>
      <c r="AI613" t="str">
        <f t="shared" si="56"/>
        <v>6-10 yrs</v>
      </c>
      <c r="AJ613" t="str">
        <f t="shared" si="57"/>
        <v>Excellent</v>
      </c>
      <c r="AK613" t="str">
        <f t="shared" si="58"/>
        <v>Satisfied</v>
      </c>
      <c r="AL613">
        <f t="shared" si="59"/>
        <v>122652</v>
      </c>
    </row>
    <row r="614" spans="1:38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54"/>
        <v>26-35</v>
      </c>
      <c r="AH614" t="str">
        <f t="shared" si="55"/>
        <v>Mid (3-6K)</v>
      </c>
      <c r="AI614" t="str">
        <f t="shared" si="56"/>
        <v>6-10 yrs</v>
      </c>
      <c r="AJ614" t="str">
        <f t="shared" si="57"/>
        <v>Excellent</v>
      </c>
      <c r="AK614" t="str">
        <f t="shared" si="58"/>
        <v>Dissatisfied</v>
      </c>
      <c r="AL614">
        <f t="shared" si="59"/>
        <v>57348</v>
      </c>
    </row>
    <row r="615" spans="1:38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54"/>
        <v>26-35</v>
      </c>
      <c r="AH615" t="str">
        <f t="shared" si="55"/>
        <v>Mid (3-6K)</v>
      </c>
      <c r="AI615" t="str">
        <f t="shared" si="56"/>
        <v>3-5 yrs</v>
      </c>
      <c r="AJ615" t="str">
        <f t="shared" si="57"/>
        <v>Good</v>
      </c>
      <c r="AK615" t="str">
        <f t="shared" si="58"/>
        <v>Very Satisfied</v>
      </c>
      <c r="AL615">
        <f t="shared" si="59"/>
        <v>44844</v>
      </c>
    </row>
    <row r="616" spans="1:38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54"/>
        <v>26-35</v>
      </c>
      <c r="AH616" t="str">
        <f t="shared" si="55"/>
        <v>Low (0-3K)</v>
      </c>
      <c r="AI616" t="str">
        <f t="shared" si="56"/>
        <v>6-10 yrs</v>
      </c>
      <c r="AJ616" t="str">
        <f t="shared" si="57"/>
        <v>Good</v>
      </c>
      <c r="AK616" t="str">
        <f t="shared" si="58"/>
        <v>Satisfied</v>
      </c>
      <c r="AL616">
        <f t="shared" si="59"/>
        <v>28392</v>
      </c>
    </row>
    <row r="617" spans="1:38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54"/>
        <v>26-35</v>
      </c>
      <c r="AH617" t="str">
        <f t="shared" si="55"/>
        <v>Low (0-3K)</v>
      </c>
      <c r="AI617" t="str">
        <f t="shared" si="56"/>
        <v>0-2 yrs</v>
      </c>
      <c r="AJ617" t="str">
        <f t="shared" si="57"/>
        <v>Good</v>
      </c>
      <c r="AK617" t="str">
        <f t="shared" si="58"/>
        <v>Very Satisfied</v>
      </c>
      <c r="AL617">
        <f t="shared" si="59"/>
        <v>20472</v>
      </c>
    </row>
    <row r="618" spans="1:38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54"/>
        <v>46+</v>
      </c>
      <c r="AH618" t="str">
        <f t="shared" si="55"/>
        <v>Very High (10K+)</v>
      </c>
      <c r="AI618" t="str">
        <f t="shared" si="56"/>
        <v>10+ yrs</v>
      </c>
      <c r="AJ618" t="str">
        <f t="shared" si="57"/>
        <v>Good</v>
      </c>
      <c r="AK618" t="str">
        <f t="shared" si="58"/>
        <v>Satisfied</v>
      </c>
      <c r="AL618">
        <f t="shared" si="59"/>
        <v>195684</v>
      </c>
    </row>
    <row r="619" spans="1:38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54"/>
        <v>36-45</v>
      </c>
      <c r="AH619" t="str">
        <f t="shared" si="55"/>
        <v>Mid (3-6K)</v>
      </c>
      <c r="AI619" t="str">
        <f t="shared" si="56"/>
        <v>3-5 yrs</v>
      </c>
      <c r="AJ619" t="str">
        <f t="shared" si="57"/>
        <v>Good</v>
      </c>
      <c r="AK619" t="str">
        <f t="shared" si="58"/>
        <v>Dissatisfied</v>
      </c>
      <c r="AL619">
        <f t="shared" si="59"/>
        <v>71196</v>
      </c>
    </row>
    <row r="620" spans="1:38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54"/>
        <v>20-25</v>
      </c>
      <c r="AH620" t="str">
        <f t="shared" si="55"/>
        <v>Mid (3-6K)</v>
      </c>
      <c r="AI620" t="str">
        <f t="shared" si="56"/>
        <v>3-5 yrs</v>
      </c>
      <c r="AJ620" t="str">
        <f t="shared" si="57"/>
        <v>Good</v>
      </c>
      <c r="AK620" t="str">
        <f t="shared" si="58"/>
        <v>Very Dissatisfied</v>
      </c>
      <c r="AL620">
        <f t="shared" si="59"/>
        <v>41088</v>
      </c>
    </row>
    <row r="621" spans="1:38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54"/>
        <v>26-35</v>
      </c>
      <c r="AH621" t="str">
        <f t="shared" si="55"/>
        <v>Mid (3-6K)</v>
      </c>
      <c r="AI621" t="str">
        <f t="shared" si="56"/>
        <v>6-10 yrs</v>
      </c>
      <c r="AJ621" t="str">
        <f t="shared" si="57"/>
        <v>Excellent</v>
      </c>
      <c r="AK621" t="str">
        <f t="shared" si="58"/>
        <v>Very Dissatisfied</v>
      </c>
      <c r="AL621">
        <f t="shared" si="59"/>
        <v>48444</v>
      </c>
    </row>
    <row r="622" spans="1:38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54"/>
        <v>26-35</v>
      </c>
      <c r="AH622" t="str">
        <f t="shared" si="55"/>
        <v>Low (0-3K)</v>
      </c>
      <c r="AI622" t="str">
        <f t="shared" si="56"/>
        <v>6-10 yrs</v>
      </c>
      <c r="AJ622" t="str">
        <f t="shared" si="57"/>
        <v>Good</v>
      </c>
      <c r="AK622" t="str">
        <f t="shared" si="58"/>
        <v>Very Dissatisfied</v>
      </c>
      <c r="AL622">
        <f t="shared" si="59"/>
        <v>30708</v>
      </c>
    </row>
    <row r="623" spans="1:38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54"/>
        <v>36-45</v>
      </c>
      <c r="AH623" t="str">
        <f t="shared" si="55"/>
        <v>High (6-10K)</v>
      </c>
      <c r="AI623" t="str">
        <f t="shared" si="56"/>
        <v>10+ yrs</v>
      </c>
      <c r="AJ623" t="str">
        <f t="shared" si="57"/>
        <v>Good</v>
      </c>
      <c r="AK623" t="str">
        <f t="shared" si="58"/>
        <v>Very Satisfied</v>
      </c>
      <c r="AL623">
        <f t="shared" si="59"/>
        <v>74412</v>
      </c>
    </row>
    <row r="624" spans="1:38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54"/>
        <v>26-35</v>
      </c>
      <c r="AH624" t="str">
        <f t="shared" si="55"/>
        <v>Mid (3-6K)</v>
      </c>
      <c r="AI624" t="str">
        <f t="shared" si="56"/>
        <v>3-5 yrs</v>
      </c>
      <c r="AJ624" t="str">
        <f t="shared" si="57"/>
        <v>Good</v>
      </c>
      <c r="AK624" t="str">
        <f t="shared" si="58"/>
        <v>Very Satisfied</v>
      </c>
      <c r="AL624">
        <f t="shared" si="59"/>
        <v>52836</v>
      </c>
    </row>
    <row r="625" spans="1:38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54"/>
        <v>26-35</v>
      </c>
      <c r="AH625" t="str">
        <f t="shared" si="55"/>
        <v>Mid (3-6K)</v>
      </c>
      <c r="AI625" t="str">
        <f t="shared" si="56"/>
        <v>3-5 yrs</v>
      </c>
      <c r="AJ625" t="str">
        <f t="shared" si="57"/>
        <v>Good</v>
      </c>
      <c r="AK625" t="str">
        <f t="shared" si="58"/>
        <v>Very Satisfied</v>
      </c>
      <c r="AL625">
        <f t="shared" si="59"/>
        <v>45132</v>
      </c>
    </row>
    <row r="626" spans="1:38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54"/>
        <v>46+</v>
      </c>
      <c r="AH626" t="str">
        <f t="shared" si="55"/>
        <v>Very High (10K+)</v>
      </c>
      <c r="AI626" t="str">
        <f t="shared" si="56"/>
        <v>3-5 yrs</v>
      </c>
      <c r="AJ626" t="str">
        <f t="shared" si="57"/>
        <v>Good</v>
      </c>
      <c r="AK626" t="str">
        <f t="shared" si="58"/>
        <v>Very Satisfied</v>
      </c>
      <c r="AL626">
        <f t="shared" si="59"/>
        <v>131208</v>
      </c>
    </row>
    <row r="627" spans="1:38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54"/>
        <v>36-45</v>
      </c>
      <c r="AH627" t="str">
        <f t="shared" si="55"/>
        <v>Very High (10K+)</v>
      </c>
      <c r="AI627" t="str">
        <f t="shared" si="56"/>
        <v>3-5 yrs</v>
      </c>
      <c r="AJ627" t="str">
        <f t="shared" si="57"/>
        <v>Good</v>
      </c>
      <c r="AK627" t="str">
        <f t="shared" si="58"/>
        <v>Very Dissatisfied</v>
      </c>
      <c r="AL627">
        <f t="shared" si="59"/>
        <v>129132</v>
      </c>
    </row>
    <row r="628" spans="1:38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54"/>
        <v>26-35</v>
      </c>
      <c r="AH628" t="str">
        <f t="shared" si="55"/>
        <v>Mid (3-6K)</v>
      </c>
      <c r="AI628" t="str">
        <f t="shared" si="56"/>
        <v>3-5 yrs</v>
      </c>
      <c r="AJ628" t="str">
        <f t="shared" si="57"/>
        <v>Good</v>
      </c>
      <c r="AK628" t="str">
        <f t="shared" si="58"/>
        <v>Satisfied</v>
      </c>
      <c r="AL628">
        <f t="shared" si="59"/>
        <v>62100</v>
      </c>
    </row>
    <row r="629" spans="1:38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54"/>
        <v>46+</v>
      </c>
      <c r="AH629" t="str">
        <f t="shared" si="55"/>
        <v>Very High (10K+)</v>
      </c>
      <c r="AI629" t="str">
        <f t="shared" si="56"/>
        <v>6-10 yrs</v>
      </c>
      <c r="AJ629" t="str">
        <f t="shared" si="57"/>
        <v>Excellent</v>
      </c>
      <c r="AK629" t="str">
        <f t="shared" si="58"/>
        <v>Very Satisfied</v>
      </c>
      <c r="AL629">
        <f t="shared" si="59"/>
        <v>165912</v>
      </c>
    </row>
    <row r="630" spans="1:38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54"/>
        <v>36-45</v>
      </c>
      <c r="AH630" t="str">
        <f t="shared" si="55"/>
        <v>High (6-10K)</v>
      </c>
      <c r="AI630" t="str">
        <f t="shared" si="56"/>
        <v>0-2 yrs</v>
      </c>
      <c r="AJ630" t="str">
        <f t="shared" si="57"/>
        <v>Good</v>
      </c>
      <c r="AK630" t="str">
        <f t="shared" si="58"/>
        <v>Satisfied</v>
      </c>
      <c r="AL630">
        <f t="shared" si="59"/>
        <v>76008</v>
      </c>
    </row>
    <row r="631" spans="1:38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54"/>
        <v>26-35</v>
      </c>
      <c r="AH631" t="str">
        <f t="shared" si="55"/>
        <v>Mid (3-6K)</v>
      </c>
      <c r="AI631" t="str">
        <f t="shared" si="56"/>
        <v>3-5 yrs</v>
      </c>
      <c r="AJ631" t="str">
        <f t="shared" si="57"/>
        <v>Good</v>
      </c>
      <c r="AK631" t="str">
        <f t="shared" si="58"/>
        <v>Very Satisfied</v>
      </c>
      <c r="AL631">
        <f t="shared" si="59"/>
        <v>59232</v>
      </c>
    </row>
    <row r="632" spans="1:38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54"/>
        <v>20-25</v>
      </c>
      <c r="AH632" t="str">
        <f t="shared" si="55"/>
        <v>Mid (3-6K)</v>
      </c>
      <c r="AI632" t="str">
        <f t="shared" si="56"/>
        <v>0-2 yrs</v>
      </c>
      <c r="AJ632" t="str">
        <f t="shared" si="57"/>
        <v>Excellent</v>
      </c>
      <c r="AK632" t="str">
        <f t="shared" si="58"/>
        <v>Very Satisfied</v>
      </c>
      <c r="AL632">
        <f t="shared" si="59"/>
        <v>57300</v>
      </c>
    </row>
    <row r="633" spans="1:38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54"/>
        <v>36-45</v>
      </c>
      <c r="AH633" t="str">
        <f t="shared" si="55"/>
        <v>Low (0-3K)</v>
      </c>
      <c r="AI633" t="str">
        <f t="shared" si="56"/>
        <v>3-5 yrs</v>
      </c>
      <c r="AJ633" t="str">
        <f t="shared" si="57"/>
        <v>Excellent</v>
      </c>
      <c r="AK633" t="str">
        <f t="shared" si="58"/>
        <v>Very Satisfied</v>
      </c>
      <c r="AL633">
        <f t="shared" si="59"/>
        <v>33816</v>
      </c>
    </row>
    <row r="634" spans="1:38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54"/>
        <v>36-45</v>
      </c>
      <c r="AH634" t="str">
        <f t="shared" si="55"/>
        <v>Low (0-3K)</v>
      </c>
      <c r="AI634" t="str">
        <f t="shared" si="56"/>
        <v>0-2 yrs</v>
      </c>
      <c r="AJ634" t="str">
        <f t="shared" si="57"/>
        <v>Good</v>
      </c>
      <c r="AK634" t="str">
        <f t="shared" si="58"/>
        <v>Very Satisfied</v>
      </c>
      <c r="AL634">
        <f t="shared" si="59"/>
        <v>30180</v>
      </c>
    </row>
    <row r="635" spans="1:38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54"/>
        <v>36-45</v>
      </c>
      <c r="AH635" t="str">
        <f t="shared" si="55"/>
        <v>Low (0-3K)</v>
      </c>
      <c r="AI635" t="str">
        <f t="shared" si="56"/>
        <v>3-5 yrs</v>
      </c>
      <c r="AJ635" t="str">
        <f t="shared" si="57"/>
        <v>Excellent</v>
      </c>
      <c r="AK635" t="str">
        <f t="shared" si="58"/>
        <v>Very Dissatisfied</v>
      </c>
      <c r="AL635">
        <f t="shared" si="59"/>
        <v>28104</v>
      </c>
    </row>
    <row r="636" spans="1:38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54"/>
        <v>20-25</v>
      </c>
      <c r="AH636" t="str">
        <f t="shared" si="55"/>
        <v>Mid (3-6K)</v>
      </c>
      <c r="AI636" t="str">
        <f t="shared" si="56"/>
        <v>3-5 yrs</v>
      </c>
      <c r="AJ636" t="str">
        <f t="shared" si="57"/>
        <v>Good</v>
      </c>
      <c r="AK636" t="str">
        <f t="shared" si="58"/>
        <v>Very Dissatisfied</v>
      </c>
      <c r="AL636">
        <f t="shared" si="59"/>
        <v>50328</v>
      </c>
    </row>
    <row r="637" spans="1:38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54"/>
        <v>26-35</v>
      </c>
      <c r="AH637" t="str">
        <f t="shared" si="55"/>
        <v>Very High (10K+)</v>
      </c>
      <c r="AI637" t="str">
        <f t="shared" si="56"/>
        <v>10+ yrs</v>
      </c>
      <c r="AJ637" t="str">
        <f t="shared" si="57"/>
        <v>Excellent</v>
      </c>
      <c r="AK637" t="str">
        <f t="shared" si="58"/>
        <v>Satisfied</v>
      </c>
      <c r="AL637">
        <f t="shared" si="59"/>
        <v>128220</v>
      </c>
    </row>
    <row r="638" spans="1:38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54"/>
        <v>26-35</v>
      </c>
      <c r="AH638" t="str">
        <f t="shared" si="55"/>
        <v>Low (0-3K)</v>
      </c>
      <c r="AI638" t="str">
        <f t="shared" si="56"/>
        <v>6-10 yrs</v>
      </c>
      <c r="AJ638" t="str">
        <f t="shared" si="57"/>
        <v>Good</v>
      </c>
      <c r="AK638" t="str">
        <f t="shared" si="58"/>
        <v>Dissatisfied</v>
      </c>
      <c r="AL638">
        <f t="shared" si="59"/>
        <v>24264</v>
      </c>
    </row>
    <row r="639" spans="1:38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54"/>
        <v>26-35</v>
      </c>
      <c r="AH639" t="str">
        <f t="shared" si="55"/>
        <v>Low (0-3K)</v>
      </c>
      <c r="AI639" t="str">
        <f t="shared" si="56"/>
        <v>3-5 yrs</v>
      </c>
      <c r="AJ639" t="str">
        <f t="shared" si="57"/>
        <v>Good</v>
      </c>
      <c r="AK639" t="str">
        <f t="shared" si="58"/>
        <v>Very Satisfied</v>
      </c>
      <c r="AL639">
        <f t="shared" si="59"/>
        <v>27768</v>
      </c>
    </row>
    <row r="640" spans="1:38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54"/>
        <v>20-25</v>
      </c>
      <c r="AH640" t="str">
        <f t="shared" si="55"/>
        <v>Mid (3-6K)</v>
      </c>
      <c r="AI640" t="str">
        <f t="shared" si="56"/>
        <v>3-5 yrs</v>
      </c>
      <c r="AJ640" t="str">
        <f t="shared" si="57"/>
        <v>Good</v>
      </c>
      <c r="AK640" t="str">
        <f t="shared" si="58"/>
        <v>Very Dissatisfied</v>
      </c>
      <c r="AL640">
        <f t="shared" si="59"/>
        <v>51072</v>
      </c>
    </row>
    <row r="641" spans="1:38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54"/>
        <v>46+</v>
      </c>
      <c r="AH641" t="str">
        <f t="shared" si="55"/>
        <v>Mid (3-6K)</v>
      </c>
      <c r="AI641" t="str">
        <f t="shared" si="56"/>
        <v>3-5 yrs</v>
      </c>
      <c r="AJ641" t="str">
        <f t="shared" si="57"/>
        <v>Good</v>
      </c>
      <c r="AK641" t="str">
        <f t="shared" si="58"/>
        <v>Very Dissatisfied</v>
      </c>
      <c r="AL641">
        <f t="shared" si="59"/>
        <v>42960</v>
      </c>
    </row>
    <row r="642" spans="1:38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si="54"/>
        <v>20-25</v>
      </c>
      <c r="AH642" t="str">
        <f t="shared" si="55"/>
        <v>Mid (3-6K)</v>
      </c>
      <c r="AI642" t="str">
        <f t="shared" si="56"/>
        <v>3-5 yrs</v>
      </c>
      <c r="AJ642" t="str">
        <f t="shared" si="57"/>
        <v>Good</v>
      </c>
      <c r="AK642" t="str">
        <f t="shared" si="58"/>
        <v>Very Satisfied</v>
      </c>
      <c r="AL642">
        <f t="shared" si="59"/>
        <v>37944</v>
      </c>
    </row>
    <row r="643" spans="1:38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ref="AG643:AG706" si="60">IF(A643&lt;=25,"20-25",IF(A643&lt;=35,"26-35",IF(A643&lt;=45,"36-45","46+")))</f>
        <v>26-35</v>
      </c>
      <c r="AH643" t="str">
        <f t="shared" ref="AH643:AH706" si="61">IF(R643&lt;=3000,"Low (0-3K)",IF(R643&lt;=6000,"Mid (3-6K)",IF(R643&lt;=10000,"High (6-10K)","Very High (10K+)")))</f>
        <v>High (6-10K)</v>
      </c>
      <c r="AI643" t="str">
        <f t="shared" ref="AI643:AI706" si="62">IF(AC643&lt;=2,"0-2 yrs",IF(AC643&lt;=5,"3-5 yrs",IF(AC643&lt;=10,"6-10 yrs","10+ yrs")))</f>
        <v>6-10 yrs</v>
      </c>
      <c r="AJ643" t="str">
        <f t="shared" ref="AJ643:AJ706" si="63">IF(W643=4,"Excellent",IF(W643=3,"Good",IF(W643=2,"Needs Improvement","Poor")))</f>
        <v>Good</v>
      </c>
      <c r="AK643" t="str">
        <f t="shared" ref="AK643:AK706" si="64">IF(P643=4,"Very Satisfied",IF(P643=3,"Satisfied",IF(P643=2,"Dissatisfied","Very Dissatisfied")))</f>
        <v>Dissatisfied</v>
      </c>
      <c r="AL643">
        <f t="shared" ref="AL643:AL706" si="65">R643*12</f>
        <v>78288</v>
      </c>
    </row>
    <row r="644" spans="1:38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60"/>
        <v>36-45</v>
      </c>
      <c r="AH644" t="str">
        <f t="shared" si="61"/>
        <v>Low (0-3K)</v>
      </c>
      <c r="AI644" t="str">
        <f t="shared" si="62"/>
        <v>0-2 yrs</v>
      </c>
      <c r="AJ644" t="str">
        <f t="shared" si="63"/>
        <v>Good</v>
      </c>
      <c r="AK644" t="str">
        <f t="shared" si="64"/>
        <v>Dissatisfied</v>
      </c>
      <c r="AL644">
        <f t="shared" si="65"/>
        <v>34788</v>
      </c>
    </row>
    <row r="645" spans="1:38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60"/>
        <v>36-45</v>
      </c>
      <c r="AH645" t="str">
        <f t="shared" si="61"/>
        <v>Mid (3-6K)</v>
      </c>
      <c r="AI645" t="str">
        <f t="shared" si="62"/>
        <v>3-5 yrs</v>
      </c>
      <c r="AJ645" t="str">
        <f t="shared" si="63"/>
        <v>Good</v>
      </c>
      <c r="AK645" t="str">
        <f t="shared" si="64"/>
        <v>Very Satisfied</v>
      </c>
      <c r="AL645">
        <f t="shared" si="65"/>
        <v>62772</v>
      </c>
    </row>
    <row r="646" spans="1:38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60"/>
        <v>26-35</v>
      </c>
      <c r="AH646" t="str">
        <f t="shared" si="61"/>
        <v>Low (0-3K)</v>
      </c>
      <c r="AI646" t="str">
        <f t="shared" si="62"/>
        <v>6-10 yrs</v>
      </c>
      <c r="AJ646" t="str">
        <f t="shared" si="63"/>
        <v>Good</v>
      </c>
      <c r="AK646" t="str">
        <f t="shared" si="64"/>
        <v>Very Satisfied</v>
      </c>
      <c r="AL646">
        <f t="shared" si="65"/>
        <v>28272</v>
      </c>
    </row>
    <row r="647" spans="1:38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60"/>
        <v>26-35</v>
      </c>
      <c r="AH647" t="str">
        <f t="shared" si="61"/>
        <v>Low (0-3K)</v>
      </c>
      <c r="AI647" t="str">
        <f t="shared" si="62"/>
        <v>3-5 yrs</v>
      </c>
      <c r="AJ647" t="str">
        <f t="shared" si="63"/>
        <v>Good</v>
      </c>
      <c r="AK647" t="str">
        <f t="shared" si="64"/>
        <v>Satisfied</v>
      </c>
      <c r="AL647">
        <f t="shared" si="65"/>
        <v>33600</v>
      </c>
    </row>
    <row r="648" spans="1:38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60"/>
        <v>46+</v>
      </c>
      <c r="AH648" t="str">
        <f t="shared" si="61"/>
        <v>Very High (10K+)</v>
      </c>
      <c r="AI648" t="str">
        <f t="shared" si="62"/>
        <v>0-2 yrs</v>
      </c>
      <c r="AJ648" t="str">
        <f t="shared" si="63"/>
        <v>Good</v>
      </c>
      <c r="AK648" t="str">
        <f t="shared" si="64"/>
        <v>Very Satisfied</v>
      </c>
      <c r="AL648">
        <f t="shared" si="65"/>
        <v>142032</v>
      </c>
    </row>
    <row r="649" spans="1:38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60"/>
        <v>26-35</v>
      </c>
      <c r="AH649" t="str">
        <f t="shared" si="61"/>
        <v>Very High (10K+)</v>
      </c>
      <c r="AI649" t="str">
        <f t="shared" si="62"/>
        <v>10+ yrs</v>
      </c>
      <c r="AJ649" t="str">
        <f t="shared" si="63"/>
        <v>Good</v>
      </c>
      <c r="AK649" t="str">
        <f t="shared" si="64"/>
        <v>Dissatisfied</v>
      </c>
      <c r="AL649">
        <f t="shared" si="65"/>
        <v>130836</v>
      </c>
    </row>
    <row r="650" spans="1:38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60"/>
        <v>36-45</v>
      </c>
      <c r="AH650" t="str">
        <f t="shared" si="61"/>
        <v>Low (0-3K)</v>
      </c>
      <c r="AI650" t="str">
        <f t="shared" si="62"/>
        <v>3-5 yrs</v>
      </c>
      <c r="AJ650" t="str">
        <f t="shared" si="63"/>
        <v>Good</v>
      </c>
      <c r="AK650" t="str">
        <f t="shared" si="64"/>
        <v>Very Satisfied</v>
      </c>
      <c r="AL650">
        <f t="shared" si="65"/>
        <v>35676</v>
      </c>
    </row>
    <row r="651" spans="1:38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60"/>
        <v>46+</v>
      </c>
      <c r="AH651" t="str">
        <f t="shared" si="61"/>
        <v>Very High (10K+)</v>
      </c>
      <c r="AI651" t="str">
        <f t="shared" si="62"/>
        <v>10+ yrs</v>
      </c>
      <c r="AJ651" t="str">
        <f t="shared" si="63"/>
        <v>Good</v>
      </c>
      <c r="AK651" t="str">
        <f t="shared" si="64"/>
        <v>Very Satisfied</v>
      </c>
      <c r="AL651">
        <f t="shared" si="65"/>
        <v>171300</v>
      </c>
    </row>
    <row r="652" spans="1:38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60"/>
        <v>36-45</v>
      </c>
      <c r="AH652" t="str">
        <f t="shared" si="61"/>
        <v>Mid (3-6K)</v>
      </c>
      <c r="AI652" t="str">
        <f t="shared" si="62"/>
        <v>3-5 yrs</v>
      </c>
      <c r="AJ652" t="str">
        <f t="shared" si="63"/>
        <v>Good</v>
      </c>
      <c r="AK652" t="str">
        <f t="shared" si="64"/>
        <v>Very Satisfied</v>
      </c>
      <c r="AL652">
        <f t="shared" si="65"/>
        <v>66744</v>
      </c>
    </row>
    <row r="653" spans="1:38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60"/>
        <v>46+</v>
      </c>
      <c r="AH653" t="str">
        <f t="shared" si="61"/>
        <v>Mid (3-6K)</v>
      </c>
      <c r="AI653" t="str">
        <f t="shared" si="62"/>
        <v>6-10 yrs</v>
      </c>
      <c r="AJ653" t="str">
        <f t="shared" si="63"/>
        <v>Excellent</v>
      </c>
      <c r="AK653" t="str">
        <f t="shared" si="64"/>
        <v>Very Satisfied</v>
      </c>
      <c r="AL653">
        <f t="shared" si="65"/>
        <v>54444</v>
      </c>
    </row>
    <row r="654" spans="1:38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60"/>
        <v>36-45</v>
      </c>
      <c r="AH654" t="str">
        <f t="shared" si="61"/>
        <v>High (6-10K)</v>
      </c>
      <c r="AI654" t="str">
        <f t="shared" si="62"/>
        <v>6-10 yrs</v>
      </c>
      <c r="AJ654" t="str">
        <f t="shared" si="63"/>
        <v>Good</v>
      </c>
      <c r="AK654" t="str">
        <f t="shared" si="64"/>
        <v>Dissatisfied</v>
      </c>
      <c r="AL654">
        <f t="shared" si="65"/>
        <v>91704</v>
      </c>
    </row>
    <row r="655" spans="1:38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60"/>
        <v>46+</v>
      </c>
      <c r="AH655" t="str">
        <f t="shared" si="61"/>
        <v>Very High (10K+)</v>
      </c>
      <c r="AI655" t="str">
        <f t="shared" si="62"/>
        <v>10+ yrs</v>
      </c>
      <c r="AJ655" t="str">
        <f t="shared" si="63"/>
        <v>Good</v>
      </c>
      <c r="AK655" t="str">
        <f t="shared" si="64"/>
        <v>Very Dissatisfied</v>
      </c>
      <c r="AL655">
        <f t="shared" si="65"/>
        <v>215088</v>
      </c>
    </row>
    <row r="656" spans="1:38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60"/>
        <v>36-45</v>
      </c>
      <c r="AH656" t="str">
        <f t="shared" si="61"/>
        <v>Mid (3-6K)</v>
      </c>
      <c r="AI656" t="str">
        <f t="shared" si="62"/>
        <v>3-5 yrs</v>
      </c>
      <c r="AJ656" t="str">
        <f t="shared" si="63"/>
        <v>Good</v>
      </c>
      <c r="AK656" t="str">
        <f t="shared" si="64"/>
        <v>Very Satisfied</v>
      </c>
      <c r="AL656">
        <f t="shared" si="65"/>
        <v>62448</v>
      </c>
    </row>
    <row r="657" spans="1:38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60"/>
        <v>26-35</v>
      </c>
      <c r="AH657" t="str">
        <f t="shared" si="61"/>
        <v>Low (0-3K)</v>
      </c>
      <c r="AI657" t="str">
        <f t="shared" si="62"/>
        <v>3-5 yrs</v>
      </c>
      <c r="AJ657" t="str">
        <f t="shared" si="63"/>
        <v>Good</v>
      </c>
      <c r="AK657" t="str">
        <f t="shared" si="64"/>
        <v>Dissatisfied</v>
      </c>
      <c r="AL657">
        <f t="shared" si="65"/>
        <v>27324</v>
      </c>
    </row>
    <row r="658" spans="1:38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60"/>
        <v>26-35</v>
      </c>
      <c r="AH658" t="str">
        <f t="shared" si="61"/>
        <v>Low (0-3K)</v>
      </c>
      <c r="AI658" t="str">
        <f t="shared" si="62"/>
        <v>0-2 yrs</v>
      </c>
      <c r="AJ658" t="str">
        <f t="shared" si="63"/>
        <v>Excellent</v>
      </c>
      <c r="AK658" t="str">
        <f t="shared" si="64"/>
        <v>Very Satisfied</v>
      </c>
      <c r="AL658">
        <f t="shared" si="65"/>
        <v>33540</v>
      </c>
    </row>
    <row r="659" spans="1:38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60"/>
        <v>26-35</v>
      </c>
      <c r="AH659" t="str">
        <f t="shared" si="61"/>
        <v>Low (0-3K)</v>
      </c>
      <c r="AI659" t="str">
        <f t="shared" si="62"/>
        <v>3-5 yrs</v>
      </c>
      <c r="AJ659" t="str">
        <f t="shared" si="63"/>
        <v>Good</v>
      </c>
      <c r="AK659" t="str">
        <f t="shared" si="64"/>
        <v>Very Satisfied</v>
      </c>
      <c r="AL659">
        <f t="shared" si="65"/>
        <v>30384</v>
      </c>
    </row>
    <row r="660" spans="1:38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60"/>
        <v>36-45</v>
      </c>
      <c r="AH660" t="str">
        <f t="shared" si="61"/>
        <v>Low (0-3K)</v>
      </c>
      <c r="AI660" t="str">
        <f t="shared" si="62"/>
        <v>6-10 yrs</v>
      </c>
      <c r="AJ660" t="str">
        <f t="shared" si="63"/>
        <v>Good</v>
      </c>
      <c r="AK660" t="str">
        <f t="shared" si="64"/>
        <v>Very Dissatisfied</v>
      </c>
      <c r="AL660">
        <f t="shared" si="65"/>
        <v>30708</v>
      </c>
    </row>
    <row r="661" spans="1:38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60"/>
        <v>26-35</v>
      </c>
      <c r="AH661" t="str">
        <f t="shared" si="61"/>
        <v>Mid (3-6K)</v>
      </c>
      <c r="AI661" t="str">
        <f t="shared" si="62"/>
        <v>3-5 yrs</v>
      </c>
      <c r="AJ661" t="str">
        <f t="shared" si="63"/>
        <v>Good</v>
      </c>
      <c r="AK661" t="str">
        <f t="shared" si="64"/>
        <v>Very Satisfied</v>
      </c>
      <c r="AL661">
        <f t="shared" si="65"/>
        <v>58896</v>
      </c>
    </row>
    <row r="662" spans="1:38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60"/>
        <v>46+</v>
      </c>
      <c r="AH662" t="str">
        <f t="shared" si="61"/>
        <v>Low (0-3K)</v>
      </c>
      <c r="AI662" t="str">
        <f t="shared" si="62"/>
        <v>0-2 yrs</v>
      </c>
      <c r="AJ662" t="str">
        <f t="shared" si="63"/>
        <v>Good</v>
      </c>
      <c r="AK662" t="str">
        <f t="shared" si="64"/>
        <v>Very Satisfied</v>
      </c>
      <c r="AL662">
        <f t="shared" si="65"/>
        <v>28560</v>
      </c>
    </row>
    <row r="663" spans="1:38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60"/>
        <v>36-45</v>
      </c>
      <c r="AH663" t="str">
        <f t="shared" si="61"/>
        <v>Mid (3-6K)</v>
      </c>
      <c r="AI663" t="str">
        <f t="shared" si="62"/>
        <v>0-2 yrs</v>
      </c>
      <c r="AJ663" t="str">
        <f t="shared" si="63"/>
        <v>Excellent</v>
      </c>
      <c r="AK663" t="str">
        <f t="shared" si="64"/>
        <v>Dissatisfied</v>
      </c>
      <c r="AL663">
        <f t="shared" si="65"/>
        <v>57180</v>
      </c>
    </row>
    <row r="664" spans="1:38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60"/>
        <v>20-25</v>
      </c>
      <c r="AH664" t="str">
        <f t="shared" si="61"/>
        <v>Low (0-3K)</v>
      </c>
      <c r="AI664" t="str">
        <f t="shared" si="62"/>
        <v>0-2 yrs</v>
      </c>
      <c r="AJ664" t="str">
        <f t="shared" si="63"/>
        <v>Good</v>
      </c>
      <c r="AK664" t="str">
        <f t="shared" si="64"/>
        <v>Satisfied</v>
      </c>
      <c r="AL664">
        <f t="shared" si="65"/>
        <v>24528</v>
      </c>
    </row>
    <row r="665" spans="1:38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60"/>
        <v>20-25</v>
      </c>
      <c r="AH665" t="str">
        <f t="shared" si="61"/>
        <v>Low (0-3K)</v>
      </c>
      <c r="AI665" t="str">
        <f t="shared" si="62"/>
        <v>0-2 yrs</v>
      </c>
      <c r="AJ665" t="str">
        <f t="shared" si="63"/>
        <v>Good</v>
      </c>
      <c r="AK665" t="str">
        <f t="shared" si="64"/>
        <v>Very Satisfied</v>
      </c>
      <c r="AL665">
        <f t="shared" si="65"/>
        <v>32316</v>
      </c>
    </row>
    <row r="666" spans="1:38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60"/>
        <v>36-45</v>
      </c>
      <c r="AH666" t="str">
        <f t="shared" si="61"/>
        <v>High (6-10K)</v>
      </c>
      <c r="AI666" t="str">
        <f t="shared" si="62"/>
        <v>10+ yrs</v>
      </c>
      <c r="AJ666" t="str">
        <f t="shared" si="63"/>
        <v>Good</v>
      </c>
      <c r="AK666" t="str">
        <f t="shared" si="64"/>
        <v>Very Satisfied</v>
      </c>
      <c r="AL666">
        <f t="shared" si="65"/>
        <v>79032</v>
      </c>
    </row>
    <row r="667" spans="1:38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60"/>
        <v>46+</v>
      </c>
      <c r="AH667" t="str">
        <f t="shared" si="61"/>
        <v>Mid (3-6K)</v>
      </c>
      <c r="AI667" t="str">
        <f t="shared" si="62"/>
        <v>3-5 yrs</v>
      </c>
      <c r="AJ667" t="str">
        <f t="shared" si="63"/>
        <v>Good</v>
      </c>
      <c r="AK667" t="str">
        <f t="shared" si="64"/>
        <v>Very Satisfied</v>
      </c>
      <c r="AL667">
        <f t="shared" si="65"/>
        <v>39528</v>
      </c>
    </row>
    <row r="668" spans="1:38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60"/>
        <v>20-25</v>
      </c>
      <c r="AH668" t="str">
        <f t="shared" si="61"/>
        <v>Mid (3-6K)</v>
      </c>
      <c r="AI668" t="str">
        <f t="shared" si="62"/>
        <v>3-5 yrs</v>
      </c>
      <c r="AJ668" t="str">
        <f t="shared" si="63"/>
        <v>Good</v>
      </c>
      <c r="AK668" t="str">
        <f t="shared" si="64"/>
        <v>Satisfied</v>
      </c>
      <c r="AL668">
        <f t="shared" si="65"/>
        <v>50052</v>
      </c>
    </row>
    <row r="669" spans="1:38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60"/>
        <v>36-45</v>
      </c>
      <c r="AH669" t="str">
        <f t="shared" si="61"/>
        <v>Low (0-3K)</v>
      </c>
      <c r="AI669" t="str">
        <f t="shared" si="62"/>
        <v>6-10 yrs</v>
      </c>
      <c r="AJ669" t="str">
        <f t="shared" si="63"/>
        <v>Good</v>
      </c>
      <c r="AK669" t="str">
        <f t="shared" si="64"/>
        <v>Very Satisfied</v>
      </c>
      <c r="AL669">
        <f t="shared" si="65"/>
        <v>33336</v>
      </c>
    </row>
    <row r="670" spans="1:38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60"/>
        <v>26-35</v>
      </c>
      <c r="AH670" t="str">
        <f t="shared" si="61"/>
        <v>Low (0-3K)</v>
      </c>
      <c r="AI670" t="str">
        <f t="shared" si="62"/>
        <v>0-2 yrs</v>
      </c>
      <c r="AJ670" t="str">
        <f t="shared" si="63"/>
        <v>Good</v>
      </c>
      <c r="AK670" t="str">
        <f t="shared" si="64"/>
        <v>Satisfied</v>
      </c>
      <c r="AL670">
        <f t="shared" si="65"/>
        <v>28524</v>
      </c>
    </row>
    <row r="671" spans="1:38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60"/>
        <v>36-45</v>
      </c>
      <c r="AH671" t="str">
        <f t="shared" si="61"/>
        <v>Low (0-3K)</v>
      </c>
      <c r="AI671" t="str">
        <f t="shared" si="62"/>
        <v>0-2 yrs</v>
      </c>
      <c r="AJ671" t="str">
        <f t="shared" si="63"/>
        <v>Excellent</v>
      </c>
      <c r="AK671" t="str">
        <f t="shared" si="64"/>
        <v>Very Dissatisfied</v>
      </c>
      <c r="AL671">
        <f t="shared" si="65"/>
        <v>28848</v>
      </c>
    </row>
    <row r="672" spans="1:38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60"/>
        <v>26-35</v>
      </c>
      <c r="AH672" t="str">
        <f t="shared" si="61"/>
        <v>Low (0-3K)</v>
      </c>
      <c r="AI672" t="str">
        <f t="shared" si="62"/>
        <v>0-2 yrs</v>
      </c>
      <c r="AJ672" t="str">
        <f t="shared" si="63"/>
        <v>Good</v>
      </c>
      <c r="AK672" t="str">
        <f t="shared" si="64"/>
        <v>Satisfied</v>
      </c>
      <c r="AL672">
        <f t="shared" si="65"/>
        <v>27816</v>
      </c>
    </row>
    <row r="673" spans="1:38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60"/>
        <v>26-35</v>
      </c>
      <c r="AH673" t="str">
        <f t="shared" si="61"/>
        <v>Low (0-3K)</v>
      </c>
      <c r="AI673" t="str">
        <f t="shared" si="62"/>
        <v>0-2 yrs</v>
      </c>
      <c r="AJ673" t="str">
        <f t="shared" si="63"/>
        <v>Good</v>
      </c>
      <c r="AK673" t="str">
        <f t="shared" si="64"/>
        <v>Dissatisfied</v>
      </c>
      <c r="AL673">
        <f t="shared" si="65"/>
        <v>24096</v>
      </c>
    </row>
    <row r="674" spans="1:38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60"/>
        <v>36-45</v>
      </c>
      <c r="AH674" t="str">
        <f t="shared" si="61"/>
        <v>High (6-10K)</v>
      </c>
      <c r="AI674" t="str">
        <f t="shared" si="62"/>
        <v>3-5 yrs</v>
      </c>
      <c r="AJ674" t="str">
        <f t="shared" si="63"/>
        <v>Good</v>
      </c>
      <c r="AK674" t="str">
        <f t="shared" si="64"/>
        <v>Satisfied</v>
      </c>
      <c r="AL674">
        <f t="shared" si="65"/>
        <v>74928</v>
      </c>
    </row>
    <row r="675" spans="1:38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60"/>
        <v>26-35</v>
      </c>
      <c r="AH675" t="str">
        <f t="shared" si="61"/>
        <v>Low (0-3K)</v>
      </c>
      <c r="AI675" t="str">
        <f t="shared" si="62"/>
        <v>3-5 yrs</v>
      </c>
      <c r="AJ675" t="str">
        <f t="shared" si="63"/>
        <v>Good</v>
      </c>
      <c r="AK675" t="str">
        <f t="shared" si="64"/>
        <v>Very Dissatisfied</v>
      </c>
      <c r="AL675">
        <f t="shared" si="65"/>
        <v>33588</v>
      </c>
    </row>
    <row r="676" spans="1:38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60"/>
        <v>46+</v>
      </c>
      <c r="AH676" t="str">
        <f t="shared" si="61"/>
        <v>Very High (10K+)</v>
      </c>
      <c r="AI676" t="str">
        <f t="shared" si="62"/>
        <v>6-10 yrs</v>
      </c>
      <c r="AJ676" t="str">
        <f t="shared" si="63"/>
        <v>Good</v>
      </c>
      <c r="AK676" t="str">
        <f t="shared" si="64"/>
        <v>Dissatisfied</v>
      </c>
      <c r="AL676">
        <f t="shared" si="65"/>
        <v>126624</v>
      </c>
    </row>
    <row r="677" spans="1:38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60"/>
        <v>26-35</v>
      </c>
      <c r="AH677" t="str">
        <f t="shared" si="61"/>
        <v>Low (0-3K)</v>
      </c>
      <c r="AI677" t="str">
        <f t="shared" si="62"/>
        <v>6-10 yrs</v>
      </c>
      <c r="AJ677" t="str">
        <f t="shared" si="63"/>
        <v>Good</v>
      </c>
      <c r="AK677" t="str">
        <f t="shared" si="64"/>
        <v>Satisfied</v>
      </c>
      <c r="AL677">
        <f t="shared" si="65"/>
        <v>27948</v>
      </c>
    </row>
    <row r="678" spans="1:38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60"/>
        <v>26-35</v>
      </c>
      <c r="AH678" t="str">
        <f t="shared" si="61"/>
        <v>Mid (3-6K)</v>
      </c>
      <c r="AI678" t="str">
        <f t="shared" si="62"/>
        <v>6-10 yrs</v>
      </c>
      <c r="AJ678" t="str">
        <f t="shared" si="63"/>
        <v>Excellent</v>
      </c>
      <c r="AK678" t="str">
        <f t="shared" si="64"/>
        <v>Very Satisfied</v>
      </c>
      <c r="AL678">
        <f t="shared" si="65"/>
        <v>48168</v>
      </c>
    </row>
    <row r="679" spans="1:38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60"/>
        <v>46+</v>
      </c>
      <c r="AH679" t="str">
        <f t="shared" si="61"/>
        <v>High (6-10K)</v>
      </c>
      <c r="AI679" t="str">
        <f t="shared" si="62"/>
        <v>10+ yrs</v>
      </c>
      <c r="AJ679" t="str">
        <f t="shared" si="63"/>
        <v>Good</v>
      </c>
      <c r="AK679" t="str">
        <f t="shared" si="64"/>
        <v>Dissatisfied</v>
      </c>
      <c r="AL679">
        <f t="shared" si="65"/>
        <v>88836</v>
      </c>
    </row>
    <row r="680" spans="1:38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60"/>
        <v>46+</v>
      </c>
      <c r="AH680" t="str">
        <f t="shared" si="61"/>
        <v>Low (0-3K)</v>
      </c>
      <c r="AI680" t="str">
        <f t="shared" si="62"/>
        <v>0-2 yrs</v>
      </c>
      <c r="AJ680" t="str">
        <f t="shared" si="63"/>
        <v>Good</v>
      </c>
      <c r="AK680" t="str">
        <f t="shared" si="64"/>
        <v>Satisfied</v>
      </c>
      <c r="AL680">
        <f t="shared" si="65"/>
        <v>27108</v>
      </c>
    </row>
    <row r="681" spans="1:38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60"/>
        <v>26-35</v>
      </c>
      <c r="AH681" t="str">
        <f t="shared" si="61"/>
        <v>High (6-10K)</v>
      </c>
      <c r="AI681" t="str">
        <f t="shared" si="62"/>
        <v>6-10 yrs</v>
      </c>
      <c r="AJ681" t="str">
        <f t="shared" si="63"/>
        <v>Good</v>
      </c>
      <c r="AK681" t="str">
        <f t="shared" si="64"/>
        <v>Satisfied</v>
      </c>
      <c r="AL681">
        <f t="shared" si="65"/>
        <v>83184</v>
      </c>
    </row>
    <row r="682" spans="1:38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60"/>
        <v>36-45</v>
      </c>
      <c r="AH682" t="str">
        <f t="shared" si="61"/>
        <v>Mid (3-6K)</v>
      </c>
      <c r="AI682" t="str">
        <f t="shared" si="62"/>
        <v>6-10 yrs</v>
      </c>
      <c r="AJ682" t="str">
        <f t="shared" si="63"/>
        <v>Good</v>
      </c>
      <c r="AK682" t="str">
        <f t="shared" si="64"/>
        <v>Very Satisfied</v>
      </c>
      <c r="AL682">
        <f t="shared" si="65"/>
        <v>56136</v>
      </c>
    </row>
    <row r="683" spans="1:38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60"/>
        <v>36-45</v>
      </c>
      <c r="AH683" t="str">
        <f t="shared" si="61"/>
        <v>Very High (10K+)</v>
      </c>
      <c r="AI683" t="str">
        <f t="shared" si="62"/>
        <v>10+ yrs</v>
      </c>
      <c r="AJ683" t="str">
        <f t="shared" si="63"/>
        <v>Good</v>
      </c>
      <c r="AK683" t="str">
        <f t="shared" si="64"/>
        <v>Very Dissatisfied</v>
      </c>
      <c r="AL683">
        <f t="shared" si="65"/>
        <v>162984</v>
      </c>
    </row>
    <row r="684" spans="1:38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60"/>
        <v>26-35</v>
      </c>
      <c r="AH684" t="str">
        <f t="shared" si="61"/>
        <v>Low (0-3K)</v>
      </c>
      <c r="AI684" t="str">
        <f t="shared" si="62"/>
        <v>3-5 yrs</v>
      </c>
      <c r="AJ684" t="str">
        <f t="shared" si="63"/>
        <v>Excellent</v>
      </c>
      <c r="AK684" t="str">
        <f t="shared" si="64"/>
        <v>Dissatisfied</v>
      </c>
      <c r="AL684">
        <f t="shared" si="65"/>
        <v>27984</v>
      </c>
    </row>
    <row r="685" spans="1:38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60"/>
        <v>20-25</v>
      </c>
      <c r="AH685" t="str">
        <f t="shared" si="61"/>
        <v>Low (0-3K)</v>
      </c>
      <c r="AI685" t="str">
        <f t="shared" si="62"/>
        <v>0-2 yrs</v>
      </c>
      <c r="AJ685" t="str">
        <f t="shared" si="63"/>
        <v>Good</v>
      </c>
      <c r="AK685" t="str">
        <f t="shared" si="64"/>
        <v>Dissatisfied</v>
      </c>
      <c r="AL685">
        <f t="shared" si="65"/>
        <v>28956</v>
      </c>
    </row>
    <row r="686" spans="1:38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60"/>
        <v>36-45</v>
      </c>
      <c r="AH686" t="str">
        <f t="shared" si="61"/>
        <v>High (6-10K)</v>
      </c>
      <c r="AI686" t="str">
        <f t="shared" si="62"/>
        <v>0-2 yrs</v>
      </c>
      <c r="AJ686" t="str">
        <f t="shared" si="63"/>
        <v>Good</v>
      </c>
      <c r="AK686" t="str">
        <f t="shared" si="64"/>
        <v>Dissatisfied</v>
      </c>
      <c r="AL686">
        <f t="shared" si="65"/>
        <v>116460</v>
      </c>
    </row>
    <row r="687" spans="1:38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60"/>
        <v>26-35</v>
      </c>
      <c r="AH687" t="str">
        <f t="shared" si="61"/>
        <v>Mid (3-6K)</v>
      </c>
      <c r="AI687" t="str">
        <f t="shared" si="62"/>
        <v>6-10 yrs</v>
      </c>
      <c r="AJ687" t="str">
        <f t="shared" si="63"/>
        <v>Good</v>
      </c>
      <c r="AK687" t="str">
        <f t="shared" si="64"/>
        <v>Very Dissatisfied</v>
      </c>
      <c r="AL687">
        <f t="shared" si="65"/>
        <v>51528</v>
      </c>
    </row>
    <row r="688" spans="1:38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60"/>
        <v>36-45</v>
      </c>
      <c r="AH688" t="str">
        <f t="shared" si="61"/>
        <v>Mid (3-6K)</v>
      </c>
      <c r="AI688" t="str">
        <f t="shared" si="62"/>
        <v>10+ yrs</v>
      </c>
      <c r="AJ688" t="str">
        <f t="shared" si="63"/>
        <v>Good</v>
      </c>
      <c r="AK688" t="str">
        <f t="shared" si="64"/>
        <v>Very Dissatisfied</v>
      </c>
      <c r="AL688">
        <f t="shared" si="65"/>
        <v>56652</v>
      </c>
    </row>
    <row r="689" spans="1:38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60"/>
        <v>36-45</v>
      </c>
      <c r="AH689" t="str">
        <f t="shared" si="61"/>
        <v>Low (0-3K)</v>
      </c>
      <c r="AI689" t="str">
        <f t="shared" si="62"/>
        <v>10+ yrs</v>
      </c>
      <c r="AJ689" t="str">
        <f t="shared" si="63"/>
        <v>Excellent</v>
      </c>
      <c r="AK689" t="str">
        <f t="shared" si="64"/>
        <v>Satisfied</v>
      </c>
      <c r="AL689">
        <f t="shared" si="65"/>
        <v>30228</v>
      </c>
    </row>
    <row r="690" spans="1:38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60"/>
        <v>20-25</v>
      </c>
      <c r="AH690" t="str">
        <f t="shared" si="61"/>
        <v>Low (0-3K)</v>
      </c>
      <c r="AI690" t="str">
        <f t="shared" si="62"/>
        <v>0-2 yrs</v>
      </c>
      <c r="AJ690" t="str">
        <f t="shared" si="63"/>
        <v>Good</v>
      </c>
      <c r="AK690" t="str">
        <f t="shared" si="64"/>
        <v>Dissatisfied</v>
      </c>
      <c r="AL690">
        <f t="shared" si="65"/>
        <v>25452</v>
      </c>
    </row>
    <row r="691" spans="1:38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60"/>
        <v>20-25</v>
      </c>
      <c r="AH691" t="str">
        <f t="shared" si="61"/>
        <v>Low (0-3K)</v>
      </c>
      <c r="AI691" t="str">
        <f t="shared" si="62"/>
        <v>0-2 yrs</v>
      </c>
      <c r="AJ691" t="str">
        <f t="shared" si="63"/>
        <v>Good</v>
      </c>
      <c r="AK691" t="str">
        <f t="shared" si="64"/>
        <v>Very Dissatisfied</v>
      </c>
      <c r="AL691">
        <f t="shared" si="65"/>
        <v>35676</v>
      </c>
    </row>
    <row r="692" spans="1:38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60"/>
        <v>26-35</v>
      </c>
      <c r="AH692" t="str">
        <f t="shared" si="61"/>
        <v>Mid (3-6K)</v>
      </c>
      <c r="AI692" t="str">
        <f t="shared" si="62"/>
        <v>6-10 yrs</v>
      </c>
      <c r="AJ692" t="str">
        <f t="shared" si="63"/>
        <v>Good</v>
      </c>
      <c r="AK692" t="str">
        <f t="shared" si="64"/>
        <v>Very Satisfied</v>
      </c>
      <c r="AL692">
        <f t="shared" si="65"/>
        <v>70260</v>
      </c>
    </row>
    <row r="693" spans="1:38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60"/>
        <v>36-45</v>
      </c>
      <c r="AH693" t="str">
        <f t="shared" si="61"/>
        <v>Mid (3-6K)</v>
      </c>
      <c r="AI693" t="str">
        <f t="shared" si="62"/>
        <v>0-2 yrs</v>
      </c>
      <c r="AJ693" t="str">
        <f t="shared" si="63"/>
        <v>Good</v>
      </c>
      <c r="AK693" t="str">
        <f t="shared" si="64"/>
        <v>Dissatisfied</v>
      </c>
      <c r="AL693">
        <f t="shared" si="65"/>
        <v>43404</v>
      </c>
    </row>
    <row r="694" spans="1:38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60"/>
        <v>26-35</v>
      </c>
      <c r="AH694" t="str">
        <f t="shared" si="61"/>
        <v>High (6-10K)</v>
      </c>
      <c r="AI694" t="str">
        <f t="shared" si="62"/>
        <v>6-10 yrs</v>
      </c>
      <c r="AJ694" t="str">
        <f t="shared" si="63"/>
        <v>Good</v>
      </c>
      <c r="AK694" t="str">
        <f t="shared" si="64"/>
        <v>Very Dissatisfied</v>
      </c>
      <c r="AL694">
        <f t="shared" si="65"/>
        <v>80700</v>
      </c>
    </row>
    <row r="695" spans="1:38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60"/>
        <v>36-45</v>
      </c>
      <c r="AH695" t="str">
        <f t="shared" si="61"/>
        <v>Very High (10K+)</v>
      </c>
      <c r="AI695" t="str">
        <f t="shared" si="62"/>
        <v>10+ yrs</v>
      </c>
      <c r="AJ695" t="str">
        <f t="shared" si="63"/>
        <v>Good</v>
      </c>
      <c r="AK695" t="str">
        <f t="shared" si="64"/>
        <v>Very Satisfied</v>
      </c>
      <c r="AL695">
        <f t="shared" si="65"/>
        <v>123900</v>
      </c>
    </row>
    <row r="696" spans="1:38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60"/>
        <v>26-35</v>
      </c>
      <c r="AH696" t="str">
        <f t="shared" si="61"/>
        <v>High (6-10K)</v>
      </c>
      <c r="AI696" t="str">
        <f t="shared" si="62"/>
        <v>3-5 yrs</v>
      </c>
      <c r="AJ696" t="str">
        <f t="shared" si="63"/>
        <v>Good</v>
      </c>
      <c r="AK696" t="str">
        <f t="shared" si="64"/>
        <v>Very Satisfied</v>
      </c>
      <c r="AL696">
        <f t="shared" si="65"/>
        <v>83388</v>
      </c>
    </row>
    <row r="697" spans="1:38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60"/>
        <v>36-45</v>
      </c>
      <c r="AH697" t="str">
        <f t="shared" si="61"/>
        <v>Very High (10K+)</v>
      </c>
      <c r="AI697" t="str">
        <f t="shared" si="62"/>
        <v>10+ yrs</v>
      </c>
      <c r="AJ697" t="str">
        <f t="shared" si="63"/>
        <v>Good</v>
      </c>
      <c r="AK697" t="str">
        <f t="shared" si="64"/>
        <v>Satisfied</v>
      </c>
      <c r="AL697">
        <f t="shared" si="65"/>
        <v>127308</v>
      </c>
    </row>
    <row r="698" spans="1:38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60"/>
        <v>36-45</v>
      </c>
      <c r="AH698" t="str">
        <f t="shared" si="61"/>
        <v>Mid (3-6K)</v>
      </c>
      <c r="AI698" t="str">
        <f t="shared" si="62"/>
        <v>6-10 yrs</v>
      </c>
      <c r="AJ698" t="str">
        <f t="shared" si="63"/>
        <v>Good</v>
      </c>
      <c r="AK698" t="str">
        <f t="shared" si="64"/>
        <v>Dissatisfied</v>
      </c>
      <c r="AL698">
        <f t="shared" si="65"/>
        <v>53364</v>
      </c>
    </row>
    <row r="699" spans="1:38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60"/>
        <v>26-35</v>
      </c>
      <c r="AH699" t="str">
        <f t="shared" si="61"/>
        <v>Low (0-3K)</v>
      </c>
      <c r="AI699" t="str">
        <f t="shared" si="62"/>
        <v>3-5 yrs</v>
      </c>
      <c r="AJ699" t="str">
        <f t="shared" si="63"/>
        <v>Good</v>
      </c>
      <c r="AK699" t="str">
        <f t="shared" si="64"/>
        <v>Very Satisfied</v>
      </c>
      <c r="AL699">
        <f t="shared" si="65"/>
        <v>25884</v>
      </c>
    </row>
    <row r="700" spans="1:38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60"/>
        <v>26-35</v>
      </c>
      <c r="AH700" t="str">
        <f t="shared" si="61"/>
        <v>Mid (3-6K)</v>
      </c>
      <c r="AI700" t="str">
        <f t="shared" si="62"/>
        <v>3-5 yrs</v>
      </c>
      <c r="AJ700" t="str">
        <f t="shared" si="63"/>
        <v>Good</v>
      </c>
      <c r="AK700" t="str">
        <f t="shared" si="64"/>
        <v>Satisfied</v>
      </c>
      <c r="AL700">
        <f t="shared" si="65"/>
        <v>55212</v>
      </c>
    </row>
    <row r="701" spans="1:38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60"/>
        <v>46+</v>
      </c>
      <c r="AH701" t="str">
        <f t="shared" si="61"/>
        <v>Very High (10K+)</v>
      </c>
      <c r="AI701" t="str">
        <f t="shared" si="62"/>
        <v>6-10 yrs</v>
      </c>
      <c r="AJ701" t="str">
        <f t="shared" si="63"/>
        <v>Good</v>
      </c>
      <c r="AK701" t="str">
        <f t="shared" si="64"/>
        <v>Very Satisfied</v>
      </c>
      <c r="AL701">
        <f t="shared" si="65"/>
        <v>205188</v>
      </c>
    </row>
    <row r="702" spans="1:38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60"/>
        <v>46+</v>
      </c>
      <c r="AH702" t="str">
        <f t="shared" si="61"/>
        <v>Low (0-3K)</v>
      </c>
      <c r="AI702" t="str">
        <f t="shared" si="62"/>
        <v>0-2 yrs</v>
      </c>
      <c r="AJ702" t="str">
        <f t="shared" si="63"/>
        <v>Excellent</v>
      </c>
      <c r="AK702" t="str">
        <f t="shared" si="64"/>
        <v>Satisfied</v>
      </c>
      <c r="AL702">
        <f t="shared" si="65"/>
        <v>29748</v>
      </c>
    </row>
    <row r="703" spans="1:38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60"/>
        <v>46+</v>
      </c>
      <c r="AH703" t="str">
        <f t="shared" si="61"/>
        <v>Very High (10K+)</v>
      </c>
      <c r="AI703" t="str">
        <f t="shared" si="62"/>
        <v>10+ yrs</v>
      </c>
      <c r="AJ703" t="str">
        <f t="shared" si="63"/>
        <v>Good</v>
      </c>
      <c r="AK703" t="str">
        <f t="shared" si="64"/>
        <v>Satisfied</v>
      </c>
      <c r="AL703">
        <f t="shared" si="65"/>
        <v>178224</v>
      </c>
    </row>
    <row r="704" spans="1:38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60"/>
        <v>26-35</v>
      </c>
      <c r="AH704" t="str">
        <f t="shared" si="61"/>
        <v>High (6-10K)</v>
      </c>
      <c r="AI704" t="str">
        <f t="shared" si="62"/>
        <v>6-10 yrs</v>
      </c>
      <c r="AJ704" t="str">
        <f t="shared" si="63"/>
        <v>Good</v>
      </c>
      <c r="AK704" t="str">
        <f t="shared" si="64"/>
        <v>Satisfied</v>
      </c>
      <c r="AL704">
        <f t="shared" si="65"/>
        <v>87168</v>
      </c>
    </row>
    <row r="705" spans="1:38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60"/>
        <v>36-45</v>
      </c>
      <c r="AH705" t="str">
        <f t="shared" si="61"/>
        <v>Mid (3-6K)</v>
      </c>
      <c r="AI705" t="str">
        <f t="shared" si="62"/>
        <v>3-5 yrs</v>
      </c>
      <c r="AJ705" t="str">
        <f t="shared" si="63"/>
        <v>Good</v>
      </c>
      <c r="AK705" t="str">
        <f t="shared" si="64"/>
        <v>Very Satisfied</v>
      </c>
      <c r="AL705">
        <f t="shared" si="65"/>
        <v>67992</v>
      </c>
    </row>
    <row r="706" spans="1:38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si="60"/>
        <v>26-35</v>
      </c>
      <c r="AH706" t="str">
        <f t="shared" si="61"/>
        <v>High (6-10K)</v>
      </c>
      <c r="AI706" t="str">
        <f t="shared" si="62"/>
        <v>6-10 yrs</v>
      </c>
      <c r="AJ706" t="str">
        <f t="shared" si="63"/>
        <v>Good</v>
      </c>
      <c r="AK706" t="str">
        <f t="shared" si="64"/>
        <v>Very Satisfied</v>
      </c>
      <c r="AL706">
        <f t="shared" si="65"/>
        <v>93876</v>
      </c>
    </row>
    <row r="707" spans="1:38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ref="AG707:AG770" si="66">IF(A707&lt;=25,"20-25",IF(A707&lt;=35,"26-35",IF(A707&lt;=45,"36-45","46+")))</f>
        <v>36-45</v>
      </c>
      <c r="AH707" t="str">
        <f t="shared" ref="AH707:AH770" si="67">IF(R707&lt;=3000,"Low (0-3K)",IF(R707&lt;=6000,"Mid (3-6K)",IF(R707&lt;=10000,"High (6-10K)","Very High (10K+)")))</f>
        <v>High (6-10K)</v>
      </c>
      <c r="AI707" t="str">
        <f t="shared" ref="AI707:AI770" si="68">IF(AC707&lt;=2,"0-2 yrs",IF(AC707&lt;=5,"3-5 yrs",IF(AC707&lt;=10,"6-10 yrs","10+ yrs")))</f>
        <v>6-10 yrs</v>
      </c>
      <c r="AJ707" t="str">
        <f t="shared" ref="AJ707:AJ770" si="69">IF(W707=4,"Excellent",IF(W707=3,"Good",IF(W707=2,"Needs Improvement","Poor")))</f>
        <v>Good</v>
      </c>
      <c r="AK707" t="str">
        <f t="shared" ref="AK707:AK770" si="70">IF(P707=4,"Very Satisfied",IF(P707=3,"Satisfied",IF(P707=2,"Dissatisfied","Very Dissatisfied")))</f>
        <v>Satisfied</v>
      </c>
      <c r="AL707">
        <f t="shared" ref="AL707:AL770" si="71">R707*12</f>
        <v>94560</v>
      </c>
    </row>
    <row r="708" spans="1:38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66"/>
        <v>36-45</v>
      </c>
      <c r="AH708" t="str">
        <f t="shared" si="67"/>
        <v>Very High (10K+)</v>
      </c>
      <c r="AI708" t="str">
        <f t="shared" si="68"/>
        <v>0-2 yrs</v>
      </c>
      <c r="AJ708" t="str">
        <f t="shared" si="69"/>
        <v>Good</v>
      </c>
      <c r="AK708" t="str">
        <f t="shared" si="70"/>
        <v>Dissatisfied</v>
      </c>
      <c r="AL708">
        <f t="shared" si="71"/>
        <v>158328</v>
      </c>
    </row>
    <row r="709" spans="1:38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66"/>
        <v>46+</v>
      </c>
      <c r="AH709" t="str">
        <f t="shared" si="67"/>
        <v>Mid (3-6K)</v>
      </c>
      <c r="AI709" t="str">
        <f t="shared" si="68"/>
        <v>10+ yrs</v>
      </c>
      <c r="AJ709" t="str">
        <f t="shared" si="69"/>
        <v>Good</v>
      </c>
      <c r="AK709" t="str">
        <f t="shared" si="70"/>
        <v>Satisfied</v>
      </c>
      <c r="AL709">
        <f t="shared" si="71"/>
        <v>60804</v>
      </c>
    </row>
    <row r="710" spans="1:38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66"/>
        <v>36-45</v>
      </c>
      <c r="AH710" t="str">
        <f t="shared" si="67"/>
        <v>Mid (3-6K)</v>
      </c>
      <c r="AI710" t="str">
        <f t="shared" si="68"/>
        <v>6-10 yrs</v>
      </c>
      <c r="AJ710" t="str">
        <f t="shared" si="69"/>
        <v>Good</v>
      </c>
      <c r="AK710" t="str">
        <f t="shared" si="70"/>
        <v>Very Satisfied</v>
      </c>
      <c r="AL710">
        <f t="shared" si="71"/>
        <v>60948</v>
      </c>
    </row>
    <row r="711" spans="1:38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66"/>
        <v>26-35</v>
      </c>
      <c r="AH711" t="str">
        <f t="shared" si="67"/>
        <v>Low (0-3K)</v>
      </c>
      <c r="AI711" t="str">
        <f t="shared" si="68"/>
        <v>3-5 yrs</v>
      </c>
      <c r="AJ711" t="str">
        <f t="shared" si="69"/>
        <v>Excellent</v>
      </c>
      <c r="AK711" t="str">
        <f t="shared" si="70"/>
        <v>Very Dissatisfied</v>
      </c>
      <c r="AL711">
        <f t="shared" si="71"/>
        <v>27852</v>
      </c>
    </row>
    <row r="712" spans="1:38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66"/>
        <v>26-35</v>
      </c>
      <c r="AH712" t="str">
        <f t="shared" si="67"/>
        <v>Very High (10K+)</v>
      </c>
      <c r="AI712" t="str">
        <f t="shared" si="68"/>
        <v>6-10 yrs</v>
      </c>
      <c r="AJ712" t="str">
        <f t="shared" si="69"/>
        <v>Good</v>
      </c>
      <c r="AK712" t="str">
        <f t="shared" si="70"/>
        <v>Satisfied</v>
      </c>
      <c r="AL712">
        <f t="shared" si="71"/>
        <v>209328</v>
      </c>
    </row>
    <row r="713" spans="1:38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66"/>
        <v>26-35</v>
      </c>
      <c r="AH713" t="str">
        <f t="shared" si="67"/>
        <v>Low (0-3K)</v>
      </c>
      <c r="AI713" t="str">
        <f t="shared" si="68"/>
        <v>0-2 yrs</v>
      </c>
      <c r="AJ713" t="str">
        <f t="shared" si="69"/>
        <v>Excellent</v>
      </c>
      <c r="AK713" t="str">
        <f t="shared" si="70"/>
        <v>Very Dissatisfied</v>
      </c>
      <c r="AL713">
        <f t="shared" si="71"/>
        <v>28848</v>
      </c>
    </row>
    <row r="714" spans="1:38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66"/>
        <v>26-35</v>
      </c>
      <c r="AH714" t="str">
        <f t="shared" si="67"/>
        <v>Mid (3-6K)</v>
      </c>
      <c r="AI714" t="str">
        <f t="shared" si="68"/>
        <v>3-5 yrs</v>
      </c>
      <c r="AJ714" t="str">
        <f t="shared" si="69"/>
        <v>Good</v>
      </c>
      <c r="AK714" t="str">
        <f t="shared" si="70"/>
        <v>Very Satisfied</v>
      </c>
      <c r="AL714">
        <f t="shared" si="71"/>
        <v>41424</v>
      </c>
    </row>
    <row r="715" spans="1:38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66"/>
        <v>36-45</v>
      </c>
      <c r="AH715" t="str">
        <f t="shared" si="67"/>
        <v>Low (0-3K)</v>
      </c>
      <c r="AI715" t="str">
        <f t="shared" si="68"/>
        <v>3-5 yrs</v>
      </c>
      <c r="AJ715" t="str">
        <f t="shared" si="69"/>
        <v>Good</v>
      </c>
      <c r="AK715" t="str">
        <f t="shared" si="70"/>
        <v>Very Satisfied</v>
      </c>
      <c r="AL715">
        <f t="shared" si="71"/>
        <v>27240</v>
      </c>
    </row>
    <row r="716" spans="1:38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66"/>
        <v>46+</v>
      </c>
      <c r="AH716" t="str">
        <f t="shared" si="67"/>
        <v>Very High (10K+)</v>
      </c>
      <c r="AI716" t="str">
        <f t="shared" si="68"/>
        <v>3-5 yrs</v>
      </c>
      <c r="AJ716" t="str">
        <f t="shared" si="69"/>
        <v>Excellent</v>
      </c>
      <c r="AK716" t="str">
        <f t="shared" si="70"/>
        <v>Very Satisfied</v>
      </c>
      <c r="AL716">
        <f t="shared" si="71"/>
        <v>208788</v>
      </c>
    </row>
    <row r="717" spans="1:38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66"/>
        <v>26-35</v>
      </c>
      <c r="AH717" t="str">
        <f t="shared" si="67"/>
        <v>Mid (3-6K)</v>
      </c>
      <c r="AI717" t="str">
        <f t="shared" si="68"/>
        <v>6-10 yrs</v>
      </c>
      <c r="AJ717" t="str">
        <f t="shared" si="69"/>
        <v>Good</v>
      </c>
      <c r="AK717" t="str">
        <f t="shared" si="70"/>
        <v>Dissatisfied</v>
      </c>
      <c r="AL717">
        <f t="shared" si="71"/>
        <v>65856</v>
      </c>
    </row>
    <row r="718" spans="1:38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66"/>
        <v>36-45</v>
      </c>
      <c r="AH718" t="str">
        <f t="shared" si="67"/>
        <v>Very High (10K+)</v>
      </c>
      <c r="AI718" t="str">
        <f t="shared" si="68"/>
        <v>10+ yrs</v>
      </c>
      <c r="AJ718" t="str">
        <f t="shared" si="69"/>
        <v>Good</v>
      </c>
      <c r="AK718" t="str">
        <f t="shared" si="70"/>
        <v>Satisfied</v>
      </c>
      <c r="AL718">
        <f t="shared" si="71"/>
        <v>233028</v>
      </c>
    </row>
    <row r="719" spans="1:38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66"/>
        <v>26-35</v>
      </c>
      <c r="AH719" t="str">
        <f t="shared" si="67"/>
        <v>Low (0-3K)</v>
      </c>
      <c r="AI719" t="str">
        <f t="shared" si="68"/>
        <v>0-2 yrs</v>
      </c>
      <c r="AJ719" t="str">
        <f t="shared" si="69"/>
        <v>Good</v>
      </c>
      <c r="AK719" t="str">
        <f t="shared" si="70"/>
        <v>Dissatisfied</v>
      </c>
      <c r="AL719">
        <f t="shared" si="71"/>
        <v>33732</v>
      </c>
    </row>
    <row r="720" spans="1:38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66"/>
        <v>36-45</v>
      </c>
      <c r="AH720" t="str">
        <f t="shared" si="67"/>
        <v>Mid (3-6K)</v>
      </c>
      <c r="AI720" t="str">
        <f t="shared" si="68"/>
        <v>6-10 yrs</v>
      </c>
      <c r="AJ720" t="str">
        <f t="shared" si="69"/>
        <v>Good</v>
      </c>
      <c r="AK720" t="str">
        <f t="shared" si="70"/>
        <v>Very Dissatisfied</v>
      </c>
      <c r="AL720">
        <f t="shared" si="71"/>
        <v>43596</v>
      </c>
    </row>
    <row r="721" spans="1:38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66"/>
        <v>46+</v>
      </c>
      <c r="AH721" t="str">
        <f t="shared" si="67"/>
        <v>Mid (3-6K)</v>
      </c>
      <c r="AI721" t="str">
        <f t="shared" si="68"/>
        <v>6-10 yrs</v>
      </c>
      <c r="AJ721" t="str">
        <f t="shared" si="69"/>
        <v>Good</v>
      </c>
      <c r="AK721" t="str">
        <f t="shared" si="70"/>
        <v>Very Satisfied</v>
      </c>
      <c r="AL721">
        <f t="shared" si="71"/>
        <v>49956</v>
      </c>
    </row>
    <row r="722" spans="1:38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66"/>
        <v>26-35</v>
      </c>
      <c r="AH722" t="str">
        <f t="shared" si="67"/>
        <v>Low (0-3K)</v>
      </c>
      <c r="AI722" t="str">
        <f t="shared" si="68"/>
        <v>3-5 yrs</v>
      </c>
      <c r="AJ722" t="str">
        <f t="shared" si="69"/>
        <v>Good</v>
      </c>
      <c r="AK722" t="str">
        <f t="shared" si="70"/>
        <v>Satisfied</v>
      </c>
      <c r="AL722">
        <f t="shared" si="71"/>
        <v>25584</v>
      </c>
    </row>
    <row r="723" spans="1:38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66"/>
        <v>46+</v>
      </c>
      <c r="AH723" t="str">
        <f t="shared" si="67"/>
        <v>Very High (10K+)</v>
      </c>
      <c r="AI723" t="str">
        <f t="shared" si="68"/>
        <v>10+ yrs</v>
      </c>
      <c r="AJ723" t="str">
        <f t="shared" si="69"/>
        <v>Good</v>
      </c>
      <c r="AK723" t="str">
        <f t="shared" si="70"/>
        <v>Satisfied</v>
      </c>
      <c r="AL723">
        <f t="shared" si="71"/>
        <v>167676</v>
      </c>
    </row>
    <row r="724" spans="1:38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66"/>
        <v>36-45</v>
      </c>
      <c r="AH724" t="str">
        <f t="shared" si="67"/>
        <v>Low (0-3K)</v>
      </c>
      <c r="AI724" t="str">
        <f t="shared" si="68"/>
        <v>0-2 yrs</v>
      </c>
      <c r="AJ724" t="str">
        <f t="shared" si="69"/>
        <v>Good</v>
      </c>
      <c r="AK724" t="str">
        <f t="shared" si="70"/>
        <v>Satisfied</v>
      </c>
      <c r="AL724">
        <f t="shared" si="71"/>
        <v>32208</v>
      </c>
    </row>
    <row r="725" spans="1:38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66"/>
        <v>46+</v>
      </c>
      <c r="AH725" t="str">
        <f t="shared" si="67"/>
        <v>Very High (10K+)</v>
      </c>
      <c r="AI725" t="str">
        <f t="shared" si="68"/>
        <v>6-10 yrs</v>
      </c>
      <c r="AJ725" t="str">
        <f t="shared" si="69"/>
        <v>Good</v>
      </c>
      <c r="AK725" t="str">
        <f t="shared" si="70"/>
        <v>Satisfied</v>
      </c>
      <c r="AL725">
        <f t="shared" si="71"/>
        <v>130140</v>
      </c>
    </row>
    <row r="726" spans="1:38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66"/>
        <v>20-25</v>
      </c>
      <c r="AH726" t="str">
        <f t="shared" si="67"/>
        <v>Mid (3-6K)</v>
      </c>
      <c r="AI726" t="str">
        <f t="shared" si="68"/>
        <v>3-5 yrs</v>
      </c>
      <c r="AJ726" t="str">
        <f t="shared" si="69"/>
        <v>Good</v>
      </c>
      <c r="AK726" t="str">
        <f t="shared" si="70"/>
        <v>Satisfied</v>
      </c>
      <c r="AL726">
        <f t="shared" si="71"/>
        <v>52524</v>
      </c>
    </row>
    <row r="727" spans="1:38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66"/>
        <v>26-35</v>
      </c>
      <c r="AH727" t="str">
        <f t="shared" si="67"/>
        <v>Mid (3-6K)</v>
      </c>
      <c r="AI727" t="str">
        <f t="shared" si="68"/>
        <v>3-5 yrs</v>
      </c>
      <c r="AJ727" t="str">
        <f t="shared" si="69"/>
        <v>Excellent</v>
      </c>
      <c r="AK727" t="str">
        <f t="shared" si="70"/>
        <v>Dissatisfied</v>
      </c>
      <c r="AL727">
        <f t="shared" si="71"/>
        <v>44916</v>
      </c>
    </row>
    <row r="728" spans="1:38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66"/>
        <v>26-35</v>
      </c>
      <c r="AH728" t="str">
        <f t="shared" si="67"/>
        <v>Mid (3-6K)</v>
      </c>
      <c r="AI728" t="str">
        <f t="shared" si="68"/>
        <v>3-5 yrs</v>
      </c>
      <c r="AJ728" t="str">
        <f t="shared" si="69"/>
        <v>Good</v>
      </c>
      <c r="AK728" t="str">
        <f t="shared" si="70"/>
        <v>Very Dissatisfied</v>
      </c>
      <c r="AL728">
        <f t="shared" si="71"/>
        <v>49776</v>
      </c>
    </row>
    <row r="729" spans="1:38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66"/>
        <v>20-25</v>
      </c>
      <c r="AH729" t="str">
        <f t="shared" si="67"/>
        <v>Low (0-3K)</v>
      </c>
      <c r="AI729" t="str">
        <f t="shared" si="68"/>
        <v>0-2 yrs</v>
      </c>
      <c r="AJ729" t="str">
        <f t="shared" si="69"/>
        <v>Good</v>
      </c>
      <c r="AK729" t="str">
        <f t="shared" si="70"/>
        <v>Very Satisfied</v>
      </c>
      <c r="AL729">
        <f t="shared" si="71"/>
        <v>12612</v>
      </c>
    </row>
    <row r="730" spans="1:38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66"/>
        <v>46+</v>
      </c>
      <c r="AH730" t="str">
        <f t="shared" si="67"/>
        <v>Very High (10K+)</v>
      </c>
      <c r="AI730" t="str">
        <f t="shared" si="68"/>
        <v>6-10 yrs</v>
      </c>
      <c r="AJ730" t="str">
        <f t="shared" si="69"/>
        <v>Good</v>
      </c>
      <c r="AK730" t="str">
        <f t="shared" si="70"/>
        <v>Satisfied</v>
      </c>
      <c r="AL730">
        <f t="shared" si="71"/>
        <v>128868</v>
      </c>
    </row>
    <row r="731" spans="1:38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66"/>
        <v>26-35</v>
      </c>
      <c r="AH731" t="str">
        <f t="shared" si="67"/>
        <v>Very High (10K+)</v>
      </c>
      <c r="AI731" t="str">
        <f t="shared" si="68"/>
        <v>10+ yrs</v>
      </c>
      <c r="AJ731" t="str">
        <f t="shared" si="69"/>
        <v>Good</v>
      </c>
      <c r="AK731" t="str">
        <f t="shared" si="70"/>
        <v>Satisfied</v>
      </c>
      <c r="AL731">
        <f t="shared" si="71"/>
        <v>124656</v>
      </c>
    </row>
    <row r="732" spans="1:38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66"/>
        <v>26-35</v>
      </c>
      <c r="AH732" t="str">
        <f t="shared" si="67"/>
        <v>Very High (10K+)</v>
      </c>
      <c r="AI732" t="str">
        <f t="shared" si="68"/>
        <v>6-10 yrs</v>
      </c>
      <c r="AJ732" t="str">
        <f t="shared" si="69"/>
        <v>Good</v>
      </c>
      <c r="AK732" t="str">
        <f t="shared" si="70"/>
        <v>Very Dissatisfied</v>
      </c>
      <c r="AL732">
        <f t="shared" si="71"/>
        <v>136992</v>
      </c>
    </row>
    <row r="733" spans="1:38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66"/>
        <v>20-25</v>
      </c>
      <c r="AH733" t="str">
        <f t="shared" si="67"/>
        <v>Low (0-3K)</v>
      </c>
      <c r="AI733" t="str">
        <f t="shared" si="68"/>
        <v>0-2 yrs</v>
      </c>
      <c r="AJ733" t="str">
        <f t="shared" si="69"/>
        <v>Good</v>
      </c>
      <c r="AK733" t="str">
        <f t="shared" si="70"/>
        <v>Very Dissatisfied</v>
      </c>
      <c r="AL733">
        <f t="shared" si="71"/>
        <v>31200</v>
      </c>
    </row>
    <row r="734" spans="1:38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66"/>
        <v>26-35</v>
      </c>
      <c r="AH734" t="str">
        <f t="shared" si="67"/>
        <v>Low (0-3K)</v>
      </c>
      <c r="AI734" t="str">
        <f t="shared" si="68"/>
        <v>3-5 yrs</v>
      </c>
      <c r="AJ734" t="str">
        <f t="shared" si="69"/>
        <v>Good</v>
      </c>
      <c r="AK734" t="str">
        <f t="shared" si="70"/>
        <v>Dissatisfied</v>
      </c>
      <c r="AL734">
        <f t="shared" si="71"/>
        <v>29064</v>
      </c>
    </row>
    <row r="735" spans="1:38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66"/>
        <v>26-35</v>
      </c>
      <c r="AH735" t="str">
        <f t="shared" si="67"/>
        <v>Mid (3-6K)</v>
      </c>
      <c r="AI735" t="str">
        <f t="shared" si="68"/>
        <v>6-10 yrs</v>
      </c>
      <c r="AJ735" t="str">
        <f t="shared" si="69"/>
        <v>Good</v>
      </c>
      <c r="AK735" t="str">
        <f t="shared" si="70"/>
        <v>Very Satisfied</v>
      </c>
      <c r="AL735">
        <f t="shared" si="71"/>
        <v>65664</v>
      </c>
    </row>
    <row r="736" spans="1:38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66"/>
        <v>20-25</v>
      </c>
      <c r="AH736" t="str">
        <f t="shared" si="67"/>
        <v>Low (0-3K)</v>
      </c>
      <c r="AI736" t="str">
        <f t="shared" si="68"/>
        <v>3-5 yrs</v>
      </c>
      <c r="AJ736" t="str">
        <f t="shared" si="69"/>
        <v>Good</v>
      </c>
      <c r="AK736" t="str">
        <f t="shared" si="70"/>
        <v>Very Dissatisfied</v>
      </c>
      <c r="AL736">
        <f t="shared" si="71"/>
        <v>29412</v>
      </c>
    </row>
    <row r="737" spans="1:38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66"/>
        <v>46+</v>
      </c>
      <c r="AH737" t="str">
        <f t="shared" si="67"/>
        <v>Mid (3-6K)</v>
      </c>
      <c r="AI737" t="str">
        <f t="shared" si="68"/>
        <v>0-2 yrs</v>
      </c>
      <c r="AJ737" t="str">
        <f t="shared" si="69"/>
        <v>Good</v>
      </c>
      <c r="AK737" t="str">
        <f t="shared" si="70"/>
        <v>Satisfied</v>
      </c>
      <c r="AL737">
        <f t="shared" si="71"/>
        <v>50880</v>
      </c>
    </row>
    <row r="738" spans="1:38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66"/>
        <v>46+</v>
      </c>
      <c r="AH738" t="str">
        <f t="shared" si="67"/>
        <v>Very High (10K+)</v>
      </c>
      <c r="AI738" t="str">
        <f t="shared" si="68"/>
        <v>10+ yrs</v>
      </c>
      <c r="AJ738" t="str">
        <f t="shared" si="69"/>
        <v>Good</v>
      </c>
      <c r="AK738" t="str">
        <f t="shared" si="70"/>
        <v>Satisfied</v>
      </c>
      <c r="AL738">
        <f t="shared" si="71"/>
        <v>131988</v>
      </c>
    </row>
    <row r="739" spans="1:38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66"/>
        <v>36-45</v>
      </c>
      <c r="AH739" t="str">
        <f t="shared" si="67"/>
        <v>Mid (3-6K)</v>
      </c>
      <c r="AI739" t="str">
        <f t="shared" si="68"/>
        <v>0-2 yrs</v>
      </c>
      <c r="AJ739" t="str">
        <f t="shared" si="69"/>
        <v>Good</v>
      </c>
      <c r="AK739" t="str">
        <f t="shared" si="70"/>
        <v>Satisfied</v>
      </c>
      <c r="AL739">
        <f t="shared" si="71"/>
        <v>60036</v>
      </c>
    </row>
    <row r="740" spans="1:38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66"/>
        <v>36-45</v>
      </c>
      <c r="AH740" t="str">
        <f t="shared" si="67"/>
        <v>Very High (10K+)</v>
      </c>
      <c r="AI740" t="str">
        <f t="shared" si="68"/>
        <v>10+ yrs</v>
      </c>
      <c r="AJ740" t="str">
        <f t="shared" si="69"/>
        <v>Good</v>
      </c>
      <c r="AK740" t="str">
        <f t="shared" si="70"/>
        <v>Very Satisfied</v>
      </c>
      <c r="AL740">
        <f t="shared" si="71"/>
        <v>152904</v>
      </c>
    </row>
    <row r="741" spans="1:38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66"/>
        <v>26-35</v>
      </c>
      <c r="AH741" t="str">
        <f t="shared" si="67"/>
        <v>Mid (3-6K)</v>
      </c>
      <c r="AI741" t="str">
        <f t="shared" si="68"/>
        <v>3-5 yrs</v>
      </c>
      <c r="AJ741" t="str">
        <f t="shared" si="69"/>
        <v>Good</v>
      </c>
      <c r="AK741" t="str">
        <f t="shared" si="70"/>
        <v>Very Satisfied</v>
      </c>
      <c r="AL741">
        <f t="shared" si="71"/>
        <v>50724</v>
      </c>
    </row>
    <row r="742" spans="1:38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66"/>
        <v>26-35</v>
      </c>
      <c r="AH742" t="str">
        <f t="shared" si="67"/>
        <v>Mid (3-6K)</v>
      </c>
      <c r="AI742" t="str">
        <f t="shared" si="68"/>
        <v>3-5 yrs</v>
      </c>
      <c r="AJ742" t="str">
        <f t="shared" si="69"/>
        <v>Excellent</v>
      </c>
      <c r="AK742" t="str">
        <f t="shared" si="70"/>
        <v>Very Satisfied</v>
      </c>
      <c r="AL742">
        <f t="shared" si="71"/>
        <v>47004</v>
      </c>
    </row>
    <row r="743" spans="1:38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66"/>
        <v>36-45</v>
      </c>
      <c r="AH743" t="str">
        <f t="shared" si="67"/>
        <v>Very High (10K+)</v>
      </c>
      <c r="AI743" t="str">
        <f t="shared" si="68"/>
        <v>0-2 yrs</v>
      </c>
      <c r="AJ743" t="str">
        <f t="shared" si="69"/>
        <v>Good</v>
      </c>
      <c r="AK743" t="str">
        <f t="shared" si="70"/>
        <v>Satisfied</v>
      </c>
      <c r="AL743">
        <f t="shared" si="71"/>
        <v>219636</v>
      </c>
    </row>
    <row r="744" spans="1:38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66"/>
        <v>46+</v>
      </c>
      <c r="AH744" t="str">
        <f t="shared" si="67"/>
        <v>Low (0-3K)</v>
      </c>
      <c r="AI744" t="str">
        <f t="shared" si="68"/>
        <v>0-2 yrs</v>
      </c>
      <c r="AJ744" t="str">
        <f t="shared" si="69"/>
        <v>Good</v>
      </c>
      <c r="AK744" t="str">
        <f t="shared" si="70"/>
        <v>Very Satisfied</v>
      </c>
      <c r="AL744">
        <f t="shared" si="71"/>
        <v>28560</v>
      </c>
    </row>
    <row r="745" spans="1:38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66"/>
        <v>46+</v>
      </c>
      <c r="AH745" t="str">
        <f t="shared" si="67"/>
        <v>Very High (10K+)</v>
      </c>
      <c r="AI745" t="str">
        <f t="shared" si="68"/>
        <v>3-5 yrs</v>
      </c>
      <c r="AJ745" t="str">
        <f t="shared" si="69"/>
        <v>Good</v>
      </c>
      <c r="AK745" t="str">
        <f t="shared" si="70"/>
        <v>Very Satisfied</v>
      </c>
      <c r="AL745">
        <f t="shared" si="71"/>
        <v>164712</v>
      </c>
    </row>
    <row r="746" spans="1:38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66"/>
        <v>36-45</v>
      </c>
      <c r="AH746" t="str">
        <f t="shared" si="67"/>
        <v>Mid (3-6K)</v>
      </c>
      <c r="AI746" t="str">
        <f t="shared" si="68"/>
        <v>0-2 yrs</v>
      </c>
      <c r="AJ746" t="str">
        <f t="shared" si="69"/>
        <v>Good</v>
      </c>
      <c r="AK746" t="str">
        <f t="shared" si="70"/>
        <v>Dissatisfied</v>
      </c>
      <c r="AL746">
        <f t="shared" si="71"/>
        <v>57324</v>
      </c>
    </row>
    <row r="747" spans="1:38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66"/>
        <v>46+</v>
      </c>
      <c r="AH747" t="str">
        <f t="shared" si="67"/>
        <v>High (6-10K)</v>
      </c>
      <c r="AI747" t="str">
        <f t="shared" si="68"/>
        <v>6-10 yrs</v>
      </c>
      <c r="AJ747" t="str">
        <f t="shared" si="69"/>
        <v>Good</v>
      </c>
      <c r="AK747" t="str">
        <f t="shared" si="70"/>
        <v>Dissatisfied</v>
      </c>
      <c r="AL747">
        <f t="shared" si="71"/>
        <v>76620</v>
      </c>
    </row>
    <row r="748" spans="1:38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66"/>
        <v>36-45</v>
      </c>
      <c r="AH748" t="str">
        <f t="shared" si="67"/>
        <v>Very High (10K+)</v>
      </c>
      <c r="AI748" t="str">
        <f t="shared" si="68"/>
        <v>10+ yrs</v>
      </c>
      <c r="AJ748" t="str">
        <f t="shared" si="69"/>
        <v>Excellent</v>
      </c>
      <c r="AK748" t="str">
        <f t="shared" si="70"/>
        <v>Satisfied</v>
      </c>
      <c r="AL748">
        <f t="shared" si="71"/>
        <v>239676</v>
      </c>
    </row>
    <row r="749" spans="1:38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66"/>
        <v>36-45</v>
      </c>
      <c r="AH749" t="str">
        <f t="shared" si="67"/>
        <v>High (6-10K)</v>
      </c>
      <c r="AI749" t="str">
        <f t="shared" si="68"/>
        <v>0-2 yrs</v>
      </c>
      <c r="AJ749" t="str">
        <f t="shared" si="69"/>
        <v>Good</v>
      </c>
      <c r="AK749" t="str">
        <f t="shared" si="70"/>
        <v>Very Satisfied</v>
      </c>
      <c r="AL749">
        <f t="shared" si="71"/>
        <v>82332</v>
      </c>
    </row>
    <row r="750" spans="1:38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66"/>
        <v>26-35</v>
      </c>
      <c r="AH750" t="str">
        <f t="shared" si="67"/>
        <v>Mid (3-6K)</v>
      </c>
      <c r="AI750" t="str">
        <f t="shared" si="68"/>
        <v>0-2 yrs</v>
      </c>
      <c r="AJ750" t="str">
        <f t="shared" si="69"/>
        <v>Good</v>
      </c>
      <c r="AK750" t="str">
        <f t="shared" si="70"/>
        <v>Very Dissatisfied</v>
      </c>
      <c r="AL750">
        <f t="shared" si="71"/>
        <v>59628</v>
      </c>
    </row>
    <row r="751" spans="1:38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66"/>
        <v>46+</v>
      </c>
      <c r="AH751" t="str">
        <f t="shared" si="67"/>
        <v>Very High (10K+)</v>
      </c>
      <c r="AI751" t="str">
        <f t="shared" si="68"/>
        <v>10+ yrs</v>
      </c>
      <c r="AJ751" t="str">
        <f t="shared" si="69"/>
        <v>Good</v>
      </c>
      <c r="AK751" t="str">
        <f t="shared" si="70"/>
        <v>Very Satisfied</v>
      </c>
      <c r="AL751">
        <f t="shared" si="71"/>
        <v>238140</v>
      </c>
    </row>
    <row r="752" spans="1:38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66"/>
        <v>36-45</v>
      </c>
      <c r="AH752" t="str">
        <f t="shared" si="67"/>
        <v>Very High (10K+)</v>
      </c>
      <c r="AI752" t="str">
        <f t="shared" si="68"/>
        <v>10+ yrs</v>
      </c>
      <c r="AJ752" t="str">
        <f t="shared" si="69"/>
        <v>Good</v>
      </c>
      <c r="AK752" t="str">
        <f t="shared" si="70"/>
        <v>Very Satisfied</v>
      </c>
      <c r="AL752">
        <f t="shared" si="71"/>
        <v>159840</v>
      </c>
    </row>
    <row r="753" spans="1:38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66"/>
        <v>46+</v>
      </c>
      <c r="AH753" t="str">
        <f t="shared" si="67"/>
        <v>High (6-10K)</v>
      </c>
      <c r="AI753" t="str">
        <f t="shared" si="68"/>
        <v>10+ yrs</v>
      </c>
      <c r="AJ753" t="str">
        <f t="shared" si="69"/>
        <v>Good</v>
      </c>
      <c r="AK753" t="str">
        <f t="shared" si="70"/>
        <v>Satisfied</v>
      </c>
      <c r="AL753">
        <f t="shared" si="71"/>
        <v>76164</v>
      </c>
    </row>
    <row r="754" spans="1:38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66"/>
        <v>36-45</v>
      </c>
      <c r="AH754" t="str">
        <f t="shared" si="67"/>
        <v>Low (0-3K)</v>
      </c>
      <c r="AI754" t="str">
        <f t="shared" si="68"/>
        <v>10+ yrs</v>
      </c>
      <c r="AJ754" t="str">
        <f t="shared" si="69"/>
        <v>Good</v>
      </c>
      <c r="AK754" t="str">
        <f t="shared" si="70"/>
        <v>Very Dissatisfied</v>
      </c>
      <c r="AL754">
        <f t="shared" si="71"/>
        <v>32916</v>
      </c>
    </row>
    <row r="755" spans="1:38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66"/>
        <v>36-45</v>
      </c>
      <c r="AH755" t="str">
        <f t="shared" si="67"/>
        <v>Very High (10K+)</v>
      </c>
      <c r="AI755" t="str">
        <f t="shared" si="68"/>
        <v>10+ yrs</v>
      </c>
      <c r="AJ755" t="str">
        <f t="shared" si="69"/>
        <v>Good</v>
      </c>
      <c r="AK755" t="str">
        <f t="shared" si="70"/>
        <v>Very Dissatisfied</v>
      </c>
      <c r="AL755">
        <f t="shared" si="71"/>
        <v>130560</v>
      </c>
    </row>
    <row r="756" spans="1:38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66"/>
        <v>26-35</v>
      </c>
      <c r="AH756" t="str">
        <f t="shared" si="67"/>
        <v>Low (0-3K)</v>
      </c>
      <c r="AI756" t="str">
        <f t="shared" si="68"/>
        <v>0-2 yrs</v>
      </c>
      <c r="AJ756" t="str">
        <f t="shared" si="69"/>
        <v>Good</v>
      </c>
      <c r="AK756" t="str">
        <f t="shared" si="70"/>
        <v>Very Satisfied</v>
      </c>
      <c r="AL756">
        <f t="shared" si="71"/>
        <v>28104</v>
      </c>
    </row>
    <row r="757" spans="1:38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66"/>
        <v>36-45</v>
      </c>
      <c r="AH757" t="str">
        <f t="shared" si="67"/>
        <v>Very High (10K+)</v>
      </c>
      <c r="AI757" t="str">
        <f t="shared" si="68"/>
        <v>6-10 yrs</v>
      </c>
      <c r="AJ757" t="str">
        <f t="shared" si="69"/>
        <v>Good</v>
      </c>
      <c r="AK757" t="str">
        <f t="shared" si="70"/>
        <v>Very Satisfied</v>
      </c>
      <c r="AL757">
        <f t="shared" si="71"/>
        <v>211800</v>
      </c>
    </row>
    <row r="758" spans="1:38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66"/>
        <v>26-35</v>
      </c>
      <c r="AH758" t="str">
        <f t="shared" si="67"/>
        <v>Mid (3-6K)</v>
      </c>
      <c r="AI758" t="str">
        <f t="shared" si="68"/>
        <v>6-10 yrs</v>
      </c>
      <c r="AJ758" t="str">
        <f t="shared" si="69"/>
        <v>Good</v>
      </c>
      <c r="AK758" t="str">
        <f t="shared" si="70"/>
        <v>Satisfied</v>
      </c>
      <c r="AL758">
        <f t="shared" si="71"/>
        <v>48300</v>
      </c>
    </row>
    <row r="759" spans="1:38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66"/>
        <v>26-35</v>
      </c>
      <c r="AH759" t="str">
        <f t="shared" si="67"/>
        <v>High (6-10K)</v>
      </c>
      <c r="AI759" t="str">
        <f t="shared" si="68"/>
        <v>10+ yrs</v>
      </c>
      <c r="AJ759" t="str">
        <f t="shared" si="69"/>
        <v>Good</v>
      </c>
      <c r="AK759" t="str">
        <f t="shared" si="70"/>
        <v>Very Satisfied</v>
      </c>
      <c r="AL759">
        <f t="shared" si="71"/>
        <v>116700</v>
      </c>
    </row>
    <row r="760" spans="1:38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66"/>
        <v>46+</v>
      </c>
      <c r="AH760" t="str">
        <f t="shared" si="67"/>
        <v>Very High (10K+)</v>
      </c>
      <c r="AI760" t="str">
        <f t="shared" si="68"/>
        <v>6-10 yrs</v>
      </c>
      <c r="AJ760" t="str">
        <f t="shared" si="69"/>
        <v>Good</v>
      </c>
      <c r="AK760" t="str">
        <f t="shared" si="70"/>
        <v>Very Satisfied</v>
      </c>
      <c r="AL760">
        <f t="shared" si="71"/>
        <v>142848</v>
      </c>
    </row>
    <row r="761" spans="1:38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66"/>
        <v>36-45</v>
      </c>
      <c r="AH761" t="str">
        <f t="shared" si="67"/>
        <v>Low (0-3K)</v>
      </c>
      <c r="AI761" t="str">
        <f t="shared" si="68"/>
        <v>6-10 yrs</v>
      </c>
      <c r="AJ761" t="str">
        <f t="shared" si="69"/>
        <v>Good</v>
      </c>
      <c r="AK761" t="str">
        <f t="shared" si="70"/>
        <v>Dissatisfied</v>
      </c>
      <c r="AL761">
        <f t="shared" si="71"/>
        <v>26124</v>
      </c>
    </row>
    <row r="762" spans="1:38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66"/>
        <v>46+</v>
      </c>
      <c r="AH762" t="str">
        <f t="shared" si="67"/>
        <v>High (6-10K)</v>
      </c>
      <c r="AI762" t="str">
        <f t="shared" si="68"/>
        <v>10+ yrs</v>
      </c>
      <c r="AJ762" t="str">
        <f t="shared" si="69"/>
        <v>Good</v>
      </c>
      <c r="AK762" t="str">
        <f t="shared" si="70"/>
        <v>Dissatisfied</v>
      </c>
      <c r="AL762">
        <f t="shared" si="71"/>
        <v>90300</v>
      </c>
    </row>
    <row r="763" spans="1:38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66"/>
        <v>36-45</v>
      </c>
      <c r="AH763" t="str">
        <f t="shared" si="67"/>
        <v>Mid (3-6K)</v>
      </c>
      <c r="AI763" t="str">
        <f t="shared" si="68"/>
        <v>0-2 yrs</v>
      </c>
      <c r="AJ763" t="str">
        <f t="shared" si="69"/>
        <v>Good</v>
      </c>
      <c r="AK763" t="str">
        <f t="shared" si="70"/>
        <v>Satisfied</v>
      </c>
      <c r="AL763">
        <f t="shared" si="71"/>
        <v>58008</v>
      </c>
    </row>
    <row r="764" spans="1:38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66"/>
        <v>26-35</v>
      </c>
      <c r="AH764" t="str">
        <f t="shared" si="67"/>
        <v>Low (0-3K)</v>
      </c>
      <c r="AI764" t="str">
        <f t="shared" si="68"/>
        <v>3-5 yrs</v>
      </c>
      <c r="AJ764" t="str">
        <f t="shared" si="69"/>
        <v>Good</v>
      </c>
      <c r="AK764" t="str">
        <f t="shared" si="70"/>
        <v>Very Dissatisfied</v>
      </c>
      <c r="AL764">
        <f t="shared" si="71"/>
        <v>24504</v>
      </c>
    </row>
    <row r="765" spans="1:38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66"/>
        <v>26-35</v>
      </c>
      <c r="AH765" t="str">
        <f t="shared" si="67"/>
        <v>Low (0-3K)</v>
      </c>
      <c r="AI765" t="str">
        <f t="shared" si="68"/>
        <v>0-2 yrs</v>
      </c>
      <c r="AJ765" t="str">
        <f t="shared" si="69"/>
        <v>Good</v>
      </c>
      <c r="AK765" t="str">
        <f t="shared" si="70"/>
        <v>Satisfied</v>
      </c>
      <c r="AL765">
        <f t="shared" si="71"/>
        <v>26640</v>
      </c>
    </row>
    <row r="766" spans="1:38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66"/>
        <v>26-35</v>
      </c>
      <c r="AH766" t="str">
        <f t="shared" si="67"/>
        <v>Low (0-3K)</v>
      </c>
      <c r="AI766" t="str">
        <f t="shared" si="68"/>
        <v>0-2 yrs</v>
      </c>
      <c r="AJ766" t="str">
        <f t="shared" si="69"/>
        <v>Excellent</v>
      </c>
      <c r="AK766" t="str">
        <f t="shared" si="70"/>
        <v>Dissatisfied</v>
      </c>
      <c r="AL766">
        <f t="shared" si="71"/>
        <v>12624</v>
      </c>
    </row>
    <row r="767" spans="1:38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66"/>
        <v>36-45</v>
      </c>
      <c r="AH767" t="str">
        <f t="shared" si="67"/>
        <v>Low (0-3K)</v>
      </c>
      <c r="AI767" t="str">
        <f t="shared" si="68"/>
        <v>0-2 yrs</v>
      </c>
      <c r="AJ767" t="str">
        <f t="shared" si="69"/>
        <v>Good</v>
      </c>
      <c r="AK767" t="str">
        <f t="shared" si="70"/>
        <v>Satisfied</v>
      </c>
      <c r="AL767">
        <f t="shared" si="71"/>
        <v>33852</v>
      </c>
    </row>
    <row r="768" spans="1:38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66"/>
        <v>46+</v>
      </c>
      <c r="AH768" t="str">
        <f t="shared" si="67"/>
        <v>Very High (10K+)</v>
      </c>
      <c r="AI768" t="str">
        <f t="shared" si="68"/>
        <v>6-10 yrs</v>
      </c>
      <c r="AJ768" t="str">
        <f t="shared" si="69"/>
        <v>Good</v>
      </c>
      <c r="AK768" t="str">
        <f t="shared" si="70"/>
        <v>Satisfied</v>
      </c>
      <c r="AL768">
        <f t="shared" si="71"/>
        <v>230844</v>
      </c>
    </row>
    <row r="769" spans="1:38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66"/>
        <v>36-45</v>
      </c>
      <c r="AH769" t="str">
        <f t="shared" si="67"/>
        <v>Mid (3-6K)</v>
      </c>
      <c r="AI769" t="str">
        <f t="shared" si="68"/>
        <v>3-5 yrs</v>
      </c>
      <c r="AJ769" t="str">
        <f t="shared" si="69"/>
        <v>Good</v>
      </c>
      <c r="AK769" t="str">
        <f t="shared" si="70"/>
        <v>Dissatisfied</v>
      </c>
      <c r="AL769">
        <f t="shared" si="71"/>
        <v>49284</v>
      </c>
    </row>
    <row r="770" spans="1:38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si="66"/>
        <v>36-45</v>
      </c>
      <c r="AH770" t="str">
        <f t="shared" si="67"/>
        <v>High (6-10K)</v>
      </c>
      <c r="AI770" t="str">
        <f t="shared" si="68"/>
        <v>6-10 yrs</v>
      </c>
      <c r="AJ770" t="str">
        <f t="shared" si="69"/>
        <v>Good</v>
      </c>
      <c r="AK770" t="str">
        <f t="shared" si="70"/>
        <v>Very Dissatisfied</v>
      </c>
      <c r="AL770">
        <f t="shared" si="71"/>
        <v>100752</v>
      </c>
    </row>
    <row r="771" spans="1:38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ref="AG771:AG834" si="72">IF(A771&lt;=25,"20-25",IF(A771&lt;=35,"26-35",IF(A771&lt;=45,"36-45","46+")))</f>
        <v>26-35</v>
      </c>
      <c r="AH771" t="str">
        <f t="shared" ref="AH771:AH834" si="73">IF(R771&lt;=3000,"Low (0-3K)",IF(R771&lt;=6000,"Mid (3-6K)",IF(R771&lt;=10000,"High (6-10K)","Very High (10K+)")))</f>
        <v>Low (0-3K)</v>
      </c>
      <c r="AI771" t="str">
        <f t="shared" ref="AI771:AI834" si="74">IF(AC771&lt;=2,"0-2 yrs",IF(AC771&lt;=5,"3-5 yrs",IF(AC771&lt;=10,"6-10 yrs","10+ yrs")))</f>
        <v>3-5 yrs</v>
      </c>
      <c r="AJ771" t="str">
        <f t="shared" ref="AJ771:AJ834" si="75">IF(W771=4,"Excellent",IF(W771=3,"Good",IF(W771=2,"Needs Improvement","Poor")))</f>
        <v>Good</v>
      </c>
      <c r="AK771" t="str">
        <f t="shared" ref="AK771:AK834" si="76">IF(P771=4,"Very Satisfied",IF(P771=3,"Satisfied",IF(P771=2,"Dissatisfied","Very Dissatisfied")))</f>
        <v>Satisfied</v>
      </c>
      <c r="AL771">
        <f t="shared" ref="AL771:AL834" si="77">R771*12</f>
        <v>24084</v>
      </c>
    </row>
    <row r="772" spans="1:38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72"/>
        <v>46+</v>
      </c>
      <c r="AH772" t="str">
        <f t="shared" si="73"/>
        <v>Very High (10K+)</v>
      </c>
      <c r="AI772" t="str">
        <f t="shared" si="74"/>
        <v>0-2 yrs</v>
      </c>
      <c r="AJ772" t="str">
        <f t="shared" si="75"/>
        <v>Good</v>
      </c>
      <c r="AK772" t="str">
        <f t="shared" si="76"/>
        <v>Very Satisfied</v>
      </c>
      <c r="AL772">
        <f t="shared" si="77"/>
        <v>235524</v>
      </c>
    </row>
    <row r="773" spans="1:38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72"/>
        <v>46+</v>
      </c>
      <c r="AH773" t="str">
        <f t="shared" si="73"/>
        <v>Very High (10K+)</v>
      </c>
      <c r="AI773" t="str">
        <f t="shared" si="74"/>
        <v>6-10 yrs</v>
      </c>
      <c r="AJ773" t="str">
        <f t="shared" si="75"/>
        <v>Good</v>
      </c>
      <c r="AK773" t="str">
        <f t="shared" si="76"/>
        <v>Satisfied</v>
      </c>
      <c r="AL773">
        <f t="shared" si="77"/>
        <v>128232</v>
      </c>
    </row>
    <row r="774" spans="1:38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72"/>
        <v>46+</v>
      </c>
      <c r="AH774" t="str">
        <f t="shared" si="73"/>
        <v>Low (0-3K)</v>
      </c>
      <c r="AI774" t="str">
        <f t="shared" si="74"/>
        <v>3-5 yrs</v>
      </c>
      <c r="AJ774" t="str">
        <f t="shared" si="75"/>
        <v>Good</v>
      </c>
      <c r="AK774" t="str">
        <f t="shared" si="76"/>
        <v>Satisfied</v>
      </c>
      <c r="AL774">
        <f t="shared" si="77"/>
        <v>35304</v>
      </c>
    </row>
    <row r="775" spans="1:38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72"/>
        <v>36-45</v>
      </c>
      <c r="AH775" t="str">
        <f t="shared" si="73"/>
        <v>High (6-10K)</v>
      </c>
      <c r="AI775" t="str">
        <f t="shared" si="74"/>
        <v>10+ yrs</v>
      </c>
      <c r="AJ775" t="str">
        <f t="shared" si="75"/>
        <v>Good</v>
      </c>
      <c r="AK775" t="str">
        <f t="shared" si="76"/>
        <v>Very Satisfied</v>
      </c>
      <c r="AL775">
        <f t="shared" si="77"/>
        <v>106296</v>
      </c>
    </row>
    <row r="776" spans="1:38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72"/>
        <v>46+</v>
      </c>
      <c r="AH776" t="str">
        <f t="shared" si="73"/>
        <v>Very High (10K+)</v>
      </c>
      <c r="AI776" t="str">
        <f t="shared" si="74"/>
        <v>6-10 yrs</v>
      </c>
      <c r="AJ776" t="str">
        <f t="shared" si="75"/>
        <v>Good</v>
      </c>
      <c r="AK776" t="str">
        <f t="shared" si="76"/>
        <v>Very Dissatisfied</v>
      </c>
      <c r="AL776">
        <f t="shared" si="77"/>
        <v>201072</v>
      </c>
    </row>
    <row r="777" spans="1:38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72"/>
        <v>36-45</v>
      </c>
      <c r="AH777" t="str">
        <f t="shared" si="73"/>
        <v>Very High (10K+)</v>
      </c>
      <c r="AI777" t="str">
        <f t="shared" si="74"/>
        <v>0-2 yrs</v>
      </c>
      <c r="AJ777" t="str">
        <f t="shared" si="75"/>
        <v>Good</v>
      </c>
      <c r="AK777" t="str">
        <f t="shared" si="76"/>
        <v>Very Satisfied</v>
      </c>
      <c r="AL777">
        <f t="shared" si="77"/>
        <v>129576</v>
      </c>
    </row>
    <row r="778" spans="1:38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72"/>
        <v>20-25</v>
      </c>
      <c r="AH778" t="str">
        <f t="shared" si="73"/>
        <v>Low (0-3K)</v>
      </c>
      <c r="AI778" t="str">
        <f t="shared" si="74"/>
        <v>0-2 yrs</v>
      </c>
      <c r="AJ778" t="str">
        <f t="shared" si="75"/>
        <v>Good</v>
      </c>
      <c r="AK778" t="str">
        <f t="shared" si="76"/>
        <v>Very Satisfied</v>
      </c>
      <c r="AL778">
        <f t="shared" si="77"/>
        <v>27876</v>
      </c>
    </row>
    <row r="779" spans="1:38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72"/>
        <v>20-25</v>
      </c>
      <c r="AH779" t="str">
        <f t="shared" si="73"/>
        <v>Low (0-3K)</v>
      </c>
      <c r="AI779" t="str">
        <f t="shared" si="74"/>
        <v>0-2 yrs</v>
      </c>
      <c r="AJ779" t="str">
        <f t="shared" si="75"/>
        <v>Good</v>
      </c>
      <c r="AK779" t="str">
        <f t="shared" si="76"/>
        <v>Very Dissatisfied</v>
      </c>
      <c r="AL779">
        <f t="shared" si="77"/>
        <v>16992</v>
      </c>
    </row>
    <row r="780" spans="1:38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72"/>
        <v>46+</v>
      </c>
      <c r="AH780" t="str">
        <f t="shared" si="73"/>
        <v>Mid (3-6K)</v>
      </c>
      <c r="AI780" t="str">
        <f t="shared" si="74"/>
        <v>10+ yrs</v>
      </c>
      <c r="AJ780" t="str">
        <f t="shared" si="75"/>
        <v>Excellent</v>
      </c>
      <c r="AK780" t="str">
        <f t="shared" si="76"/>
        <v>Very Dissatisfied</v>
      </c>
      <c r="AL780">
        <f t="shared" si="77"/>
        <v>55380</v>
      </c>
    </row>
    <row r="781" spans="1:38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72"/>
        <v>46+</v>
      </c>
      <c r="AH781" t="str">
        <f t="shared" si="73"/>
        <v>Low (0-3K)</v>
      </c>
      <c r="AI781" t="str">
        <f t="shared" si="74"/>
        <v>6-10 yrs</v>
      </c>
      <c r="AJ781" t="str">
        <f t="shared" si="75"/>
        <v>Good</v>
      </c>
      <c r="AK781" t="str">
        <f t="shared" si="76"/>
        <v>Satisfied</v>
      </c>
      <c r="AL781">
        <f t="shared" si="77"/>
        <v>29532</v>
      </c>
    </row>
    <row r="782" spans="1:38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72"/>
        <v>26-35</v>
      </c>
      <c r="AH782" t="str">
        <f t="shared" si="73"/>
        <v>High (6-10K)</v>
      </c>
      <c r="AI782" t="str">
        <f t="shared" si="74"/>
        <v>6-10 yrs</v>
      </c>
      <c r="AJ782" t="str">
        <f t="shared" si="75"/>
        <v>Good</v>
      </c>
      <c r="AK782" t="str">
        <f t="shared" si="76"/>
        <v>Very Dissatisfied</v>
      </c>
      <c r="AL782">
        <f t="shared" si="77"/>
        <v>104664</v>
      </c>
    </row>
    <row r="783" spans="1:38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72"/>
        <v>26-35</v>
      </c>
      <c r="AH783" t="str">
        <f t="shared" si="73"/>
        <v>Mid (3-6K)</v>
      </c>
      <c r="AI783" t="str">
        <f t="shared" si="74"/>
        <v>3-5 yrs</v>
      </c>
      <c r="AJ783" t="str">
        <f t="shared" si="75"/>
        <v>Good</v>
      </c>
      <c r="AK783" t="str">
        <f t="shared" si="76"/>
        <v>Very Dissatisfied</v>
      </c>
      <c r="AL783">
        <f t="shared" si="77"/>
        <v>47460</v>
      </c>
    </row>
    <row r="784" spans="1:38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72"/>
        <v>26-35</v>
      </c>
      <c r="AH784" t="str">
        <f t="shared" si="73"/>
        <v>High (6-10K)</v>
      </c>
      <c r="AI784" t="str">
        <f t="shared" si="74"/>
        <v>6-10 yrs</v>
      </c>
      <c r="AJ784" t="str">
        <f t="shared" si="75"/>
        <v>Good</v>
      </c>
      <c r="AK784" t="str">
        <f t="shared" si="76"/>
        <v>Very Dissatisfied</v>
      </c>
      <c r="AL784">
        <f t="shared" si="77"/>
        <v>119484</v>
      </c>
    </row>
    <row r="785" spans="1:38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72"/>
        <v>36-45</v>
      </c>
      <c r="AH785" t="str">
        <f t="shared" si="73"/>
        <v>Mid (3-6K)</v>
      </c>
      <c r="AI785" t="str">
        <f t="shared" si="74"/>
        <v>6-10 yrs</v>
      </c>
      <c r="AJ785" t="str">
        <f t="shared" si="75"/>
        <v>Good</v>
      </c>
      <c r="AK785" t="str">
        <f t="shared" si="76"/>
        <v>Satisfied</v>
      </c>
      <c r="AL785">
        <f t="shared" si="77"/>
        <v>40512</v>
      </c>
    </row>
    <row r="786" spans="1:38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72"/>
        <v>36-45</v>
      </c>
      <c r="AH786" t="str">
        <f t="shared" si="73"/>
        <v>High (6-10K)</v>
      </c>
      <c r="AI786" t="str">
        <f t="shared" si="74"/>
        <v>10+ yrs</v>
      </c>
      <c r="AJ786" t="str">
        <f t="shared" si="75"/>
        <v>Good</v>
      </c>
      <c r="AK786" t="str">
        <f t="shared" si="76"/>
        <v>Satisfied</v>
      </c>
      <c r="AL786">
        <f t="shared" si="77"/>
        <v>105876</v>
      </c>
    </row>
    <row r="787" spans="1:38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72"/>
        <v>36-45</v>
      </c>
      <c r="AH787" t="str">
        <f t="shared" si="73"/>
        <v>Very High (10K+)</v>
      </c>
      <c r="AI787" t="str">
        <f t="shared" si="74"/>
        <v>10+ yrs</v>
      </c>
      <c r="AJ787" t="str">
        <f t="shared" si="75"/>
        <v>Excellent</v>
      </c>
      <c r="AK787" t="str">
        <f t="shared" si="76"/>
        <v>Very Satisfied</v>
      </c>
      <c r="AL787">
        <f t="shared" si="77"/>
        <v>123864</v>
      </c>
    </row>
    <row r="788" spans="1:38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72"/>
        <v>26-35</v>
      </c>
      <c r="AH788" t="str">
        <f t="shared" si="73"/>
        <v>Mid (3-6K)</v>
      </c>
      <c r="AI788" t="str">
        <f t="shared" si="74"/>
        <v>3-5 yrs</v>
      </c>
      <c r="AJ788" t="str">
        <f t="shared" si="75"/>
        <v>Good</v>
      </c>
      <c r="AK788" t="str">
        <f t="shared" si="76"/>
        <v>Satisfied</v>
      </c>
      <c r="AL788">
        <f t="shared" si="77"/>
        <v>55452</v>
      </c>
    </row>
    <row r="789" spans="1:38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72"/>
        <v>46+</v>
      </c>
      <c r="AH789" t="str">
        <f t="shared" si="73"/>
        <v>Very High (10K+)</v>
      </c>
      <c r="AI789" t="str">
        <f t="shared" si="74"/>
        <v>3-5 yrs</v>
      </c>
      <c r="AJ789" t="str">
        <f t="shared" si="75"/>
        <v>Good</v>
      </c>
      <c r="AK789" t="str">
        <f t="shared" si="76"/>
        <v>Dissatisfied</v>
      </c>
      <c r="AL789">
        <f t="shared" si="77"/>
        <v>131712</v>
      </c>
    </row>
    <row r="790" spans="1:38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72"/>
        <v>26-35</v>
      </c>
      <c r="AH790" t="str">
        <f t="shared" si="73"/>
        <v>Mid (3-6K)</v>
      </c>
      <c r="AI790" t="str">
        <f t="shared" si="74"/>
        <v>6-10 yrs</v>
      </c>
      <c r="AJ790" t="str">
        <f t="shared" si="75"/>
        <v>Good</v>
      </c>
      <c r="AK790" t="str">
        <f t="shared" si="76"/>
        <v>Satisfied</v>
      </c>
      <c r="AL790">
        <f t="shared" si="77"/>
        <v>43920</v>
      </c>
    </row>
    <row r="791" spans="1:38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72"/>
        <v>36-45</v>
      </c>
      <c r="AH791" t="str">
        <f t="shared" si="73"/>
        <v>Very High (10K+)</v>
      </c>
      <c r="AI791" t="str">
        <f t="shared" si="74"/>
        <v>10+ yrs</v>
      </c>
      <c r="AJ791" t="str">
        <f t="shared" si="75"/>
        <v>Good</v>
      </c>
      <c r="AK791" t="str">
        <f t="shared" si="76"/>
        <v>Very Dissatisfied</v>
      </c>
      <c r="AL791">
        <f t="shared" si="77"/>
        <v>125784</v>
      </c>
    </row>
    <row r="792" spans="1:38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72"/>
        <v>26-35</v>
      </c>
      <c r="AH792" t="str">
        <f t="shared" si="73"/>
        <v>High (6-10K)</v>
      </c>
      <c r="AI792" t="str">
        <f t="shared" si="74"/>
        <v>3-5 yrs</v>
      </c>
      <c r="AJ792" t="str">
        <f t="shared" si="75"/>
        <v>Good</v>
      </c>
      <c r="AK792" t="str">
        <f t="shared" si="76"/>
        <v>Very Satisfied</v>
      </c>
      <c r="AL792">
        <f t="shared" si="77"/>
        <v>85428</v>
      </c>
    </row>
    <row r="793" spans="1:38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72"/>
        <v>26-35</v>
      </c>
      <c r="AH793" t="str">
        <f t="shared" si="73"/>
        <v>High (6-10K)</v>
      </c>
      <c r="AI793" t="str">
        <f t="shared" si="74"/>
        <v>6-10 yrs</v>
      </c>
      <c r="AJ793" t="str">
        <f t="shared" si="75"/>
        <v>Excellent</v>
      </c>
      <c r="AK793" t="str">
        <f t="shared" si="76"/>
        <v>Very Dissatisfied</v>
      </c>
      <c r="AL793">
        <f t="shared" si="77"/>
        <v>114984</v>
      </c>
    </row>
    <row r="794" spans="1:38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72"/>
        <v>26-35</v>
      </c>
      <c r="AH794" t="str">
        <f t="shared" si="73"/>
        <v>Mid (3-6K)</v>
      </c>
      <c r="AI794" t="str">
        <f t="shared" si="74"/>
        <v>10+ yrs</v>
      </c>
      <c r="AJ794" t="str">
        <f t="shared" si="75"/>
        <v>Excellent</v>
      </c>
      <c r="AK794" t="str">
        <f t="shared" si="76"/>
        <v>Satisfied</v>
      </c>
      <c r="AL794">
        <f t="shared" si="77"/>
        <v>54096</v>
      </c>
    </row>
    <row r="795" spans="1:38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72"/>
        <v>26-35</v>
      </c>
      <c r="AH795" t="str">
        <f t="shared" si="73"/>
        <v>Low (0-3K)</v>
      </c>
      <c r="AI795" t="str">
        <f t="shared" si="74"/>
        <v>3-5 yrs</v>
      </c>
      <c r="AJ795" t="str">
        <f t="shared" si="75"/>
        <v>Good</v>
      </c>
      <c r="AK795" t="str">
        <f t="shared" si="76"/>
        <v>Satisfied</v>
      </c>
      <c r="AL795">
        <f t="shared" si="77"/>
        <v>26484</v>
      </c>
    </row>
    <row r="796" spans="1:38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72"/>
        <v>26-35</v>
      </c>
      <c r="AH796" t="str">
        <f t="shared" si="73"/>
        <v>High (6-10K)</v>
      </c>
      <c r="AI796" t="str">
        <f t="shared" si="74"/>
        <v>6-10 yrs</v>
      </c>
      <c r="AJ796" t="str">
        <f t="shared" si="75"/>
        <v>Good</v>
      </c>
      <c r="AK796" t="str">
        <f t="shared" si="76"/>
        <v>Very Satisfied</v>
      </c>
      <c r="AL796">
        <f t="shared" si="77"/>
        <v>93072</v>
      </c>
    </row>
    <row r="797" spans="1:38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72"/>
        <v>36-45</v>
      </c>
      <c r="AH797" t="str">
        <f t="shared" si="73"/>
        <v>High (6-10K)</v>
      </c>
      <c r="AI797" t="str">
        <f t="shared" si="74"/>
        <v>0-2 yrs</v>
      </c>
      <c r="AJ797" t="str">
        <f t="shared" si="75"/>
        <v>Good</v>
      </c>
      <c r="AK797" t="str">
        <f t="shared" si="76"/>
        <v>Very Satisfied</v>
      </c>
      <c r="AL797">
        <f t="shared" si="77"/>
        <v>80328</v>
      </c>
    </row>
    <row r="798" spans="1:38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72"/>
        <v>20-25</v>
      </c>
      <c r="AH798" t="str">
        <f t="shared" si="73"/>
        <v>Mid (3-6K)</v>
      </c>
      <c r="AI798" t="str">
        <f t="shared" si="74"/>
        <v>6-10 yrs</v>
      </c>
      <c r="AJ798" t="str">
        <f t="shared" si="75"/>
        <v>Good</v>
      </c>
      <c r="AK798" t="str">
        <f t="shared" si="76"/>
        <v>Very Satisfied</v>
      </c>
      <c r="AL798">
        <f t="shared" si="77"/>
        <v>44292</v>
      </c>
    </row>
    <row r="799" spans="1:38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72"/>
        <v>26-35</v>
      </c>
      <c r="AH799" t="str">
        <f t="shared" si="73"/>
        <v>Low (0-3K)</v>
      </c>
      <c r="AI799" t="str">
        <f t="shared" si="74"/>
        <v>0-2 yrs</v>
      </c>
      <c r="AJ799" t="str">
        <f t="shared" si="75"/>
        <v>Excellent</v>
      </c>
      <c r="AK799" t="str">
        <f t="shared" si="76"/>
        <v>Satisfied</v>
      </c>
      <c r="AL799">
        <f t="shared" si="77"/>
        <v>28524</v>
      </c>
    </row>
    <row r="800" spans="1:38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72"/>
        <v>26-35</v>
      </c>
      <c r="AH800" t="str">
        <f t="shared" si="73"/>
        <v>Low (0-3K)</v>
      </c>
      <c r="AI800" t="str">
        <f t="shared" si="74"/>
        <v>0-2 yrs</v>
      </c>
      <c r="AJ800" t="str">
        <f t="shared" si="75"/>
        <v>Excellent</v>
      </c>
      <c r="AK800" t="str">
        <f t="shared" si="76"/>
        <v>Dissatisfied</v>
      </c>
      <c r="AL800">
        <f t="shared" si="77"/>
        <v>27756</v>
      </c>
    </row>
    <row r="801" spans="1:38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72"/>
        <v>36-45</v>
      </c>
      <c r="AH801" t="str">
        <f t="shared" si="73"/>
        <v>Very High (10K+)</v>
      </c>
      <c r="AI801" t="str">
        <f t="shared" si="74"/>
        <v>10+ yrs</v>
      </c>
      <c r="AJ801" t="str">
        <f t="shared" si="75"/>
        <v>Good</v>
      </c>
      <c r="AK801" t="str">
        <f t="shared" si="76"/>
        <v>Very Dissatisfied</v>
      </c>
      <c r="AL801">
        <f t="shared" si="77"/>
        <v>211980</v>
      </c>
    </row>
    <row r="802" spans="1:38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72"/>
        <v>26-35</v>
      </c>
      <c r="AH802" t="str">
        <f t="shared" si="73"/>
        <v>Low (0-3K)</v>
      </c>
      <c r="AI802" t="str">
        <f t="shared" si="74"/>
        <v>0-2 yrs</v>
      </c>
      <c r="AJ802" t="str">
        <f t="shared" si="75"/>
        <v>Good</v>
      </c>
      <c r="AK802" t="str">
        <f t="shared" si="76"/>
        <v>Dissatisfied</v>
      </c>
      <c r="AL802">
        <f t="shared" si="77"/>
        <v>31152</v>
      </c>
    </row>
    <row r="803" spans="1:38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72"/>
        <v>46+</v>
      </c>
      <c r="AH803" t="str">
        <f t="shared" si="73"/>
        <v>Mid (3-6K)</v>
      </c>
      <c r="AI803" t="str">
        <f t="shared" si="74"/>
        <v>0-2 yrs</v>
      </c>
      <c r="AJ803" t="str">
        <f t="shared" si="75"/>
        <v>Good</v>
      </c>
      <c r="AK803" t="str">
        <f t="shared" si="76"/>
        <v>Satisfied</v>
      </c>
      <c r="AL803">
        <f t="shared" si="77"/>
        <v>56736</v>
      </c>
    </row>
    <row r="804" spans="1:38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72"/>
        <v>26-35</v>
      </c>
      <c r="AH804" t="str">
        <f t="shared" si="73"/>
        <v>Mid (3-6K)</v>
      </c>
      <c r="AI804" t="str">
        <f t="shared" si="74"/>
        <v>3-5 yrs</v>
      </c>
      <c r="AJ804" t="str">
        <f t="shared" si="75"/>
        <v>Good</v>
      </c>
      <c r="AK804" t="str">
        <f t="shared" si="76"/>
        <v>Dissatisfied</v>
      </c>
      <c r="AL804">
        <f t="shared" si="77"/>
        <v>51624</v>
      </c>
    </row>
    <row r="805" spans="1:38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72"/>
        <v>26-35</v>
      </c>
      <c r="AH805" t="str">
        <f t="shared" si="73"/>
        <v>Low (0-3K)</v>
      </c>
      <c r="AI805" t="str">
        <f t="shared" si="74"/>
        <v>0-2 yrs</v>
      </c>
      <c r="AJ805" t="str">
        <f t="shared" si="75"/>
        <v>Good</v>
      </c>
      <c r="AK805" t="str">
        <f t="shared" si="76"/>
        <v>Very Satisfied</v>
      </c>
      <c r="AL805">
        <f t="shared" si="77"/>
        <v>35748</v>
      </c>
    </row>
    <row r="806" spans="1:38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72"/>
        <v>46+</v>
      </c>
      <c r="AH806" t="str">
        <f t="shared" si="73"/>
        <v>Very High (10K+)</v>
      </c>
      <c r="AI806" t="str">
        <f t="shared" si="74"/>
        <v>3-5 yrs</v>
      </c>
      <c r="AJ806" t="str">
        <f t="shared" si="75"/>
        <v>Excellent</v>
      </c>
      <c r="AK806" t="str">
        <f t="shared" si="76"/>
        <v>Very Satisfied</v>
      </c>
      <c r="AL806">
        <f t="shared" si="77"/>
        <v>202620</v>
      </c>
    </row>
    <row r="807" spans="1:38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72"/>
        <v>36-45</v>
      </c>
      <c r="AH807" t="str">
        <f t="shared" si="73"/>
        <v>Mid (3-6K)</v>
      </c>
      <c r="AI807" t="str">
        <f t="shared" si="74"/>
        <v>10+ yrs</v>
      </c>
      <c r="AJ807" t="str">
        <f t="shared" si="75"/>
        <v>Good</v>
      </c>
      <c r="AK807" t="str">
        <f t="shared" si="76"/>
        <v>Satisfied</v>
      </c>
      <c r="AL807">
        <f t="shared" si="77"/>
        <v>67116</v>
      </c>
    </row>
    <row r="808" spans="1:38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72"/>
        <v>46+</v>
      </c>
      <c r="AH808" t="str">
        <f t="shared" si="73"/>
        <v>Very High (10K+)</v>
      </c>
      <c r="AI808" t="str">
        <f t="shared" si="74"/>
        <v>6-10 yrs</v>
      </c>
      <c r="AJ808" t="str">
        <f t="shared" si="75"/>
        <v>Good</v>
      </c>
      <c r="AK808" t="str">
        <f t="shared" si="76"/>
        <v>Dissatisfied</v>
      </c>
      <c r="AL808">
        <f t="shared" si="77"/>
        <v>125340</v>
      </c>
    </row>
    <row r="809" spans="1:38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72"/>
        <v>36-45</v>
      </c>
      <c r="AH809" t="str">
        <f t="shared" si="73"/>
        <v>High (6-10K)</v>
      </c>
      <c r="AI809" t="str">
        <f t="shared" si="74"/>
        <v>6-10 yrs</v>
      </c>
      <c r="AJ809" t="str">
        <f t="shared" si="75"/>
        <v>Good</v>
      </c>
      <c r="AK809" t="str">
        <f t="shared" si="76"/>
        <v>Satisfied</v>
      </c>
      <c r="AL809">
        <f t="shared" si="77"/>
        <v>104880</v>
      </c>
    </row>
    <row r="810" spans="1:38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72"/>
        <v>26-35</v>
      </c>
      <c r="AH810" t="str">
        <f t="shared" si="73"/>
        <v>Low (0-3K)</v>
      </c>
      <c r="AI810" t="str">
        <f t="shared" si="74"/>
        <v>6-10 yrs</v>
      </c>
      <c r="AJ810" t="str">
        <f t="shared" si="75"/>
        <v>Excellent</v>
      </c>
      <c r="AK810" t="str">
        <f t="shared" si="76"/>
        <v>Very Satisfied</v>
      </c>
      <c r="AL810">
        <f t="shared" si="77"/>
        <v>30168</v>
      </c>
    </row>
    <row r="811" spans="1:38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72"/>
        <v>26-35</v>
      </c>
      <c r="AH811" t="str">
        <f t="shared" si="73"/>
        <v>High (6-10K)</v>
      </c>
      <c r="AI811" t="str">
        <f t="shared" si="74"/>
        <v>6-10 yrs</v>
      </c>
      <c r="AJ811" t="str">
        <f t="shared" si="75"/>
        <v>Good</v>
      </c>
      <c r="AK811" t="str">
        <f t="shared" si="76"/>
        <v>Dissatisfied</v>
      </c>
      <c r="AL811">
        <f t="shared" si="77"/>
        <v>91860</v>
      </c>
    </row>
    <row r="812" spans="1:38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72"/>
        <v>46+</v>
      </c>
      <c r="AH812" t="str">
        <f t="shared" si="73"/>
        <v>Very High (10K+)</v>
      </c>
      <c r="AI812" t="str">
        <f t="shared" si="74"/>
        <v>10+ yrs</v>
      </c>
      <c r="AJ812" t="str">
        <f t="shared" si="75"/>
        <v>Good</v>
      </c>
      <c r="AK812" t="str">
        <f t="shared" si="76"/>
        <v>Satisfied</v>
      </c>
      <c r="AL812">
        <f t="shared" si="77"/>
        <v>209580</v>
      </c>
    </row>
    <row r="813" spans="1:38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72"/>
        <v>36-45</v>
      </c>
      <c r="AH813" t="str">
        <f t="shared" si="73"/>
        <v>High (6-10K)</v>
      </c>
      <c r="AI813" t="str">
        <f t="shared" si="74"/>
        <v>0-2 yrs</v>
      </c>
      <c r="AJ813" t="str">
        <f t="shared" si="75"/>
        <v>Good</v>
      </c>
      <c r="AK813" t="str">
        <f t="shared" si="76"/>
        <v>Dissatisfied</v>
      </c>
      <c r="AL813">
        <f t="shared" si="77"/>
        <v>88212</v>
      </c>
    </row>
    <row r="814" spans="1:38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72"/>
        <v>36-45</v>
      </c>
      <c r="AH814" t="str">
        <f t="shared" si="73"/>
        <v>Very High (10K+)</v>
      </c>
      <c r="AI814" t="str">
        <f t="shared" si="74"/>
        <v>6-10 yrs</v>
      </c>
      <c r="AJ814" t="str">
        <f t="shared" si="75"/>
        <v>Good</v>
      </c>
      <c r="AK814" t="str">
        <f t="shared" si="76"/>
        <v>Very Dissatisfied</v>
      </c>
      <c r="AL814">
        <f t="shared" si="77"/>
        <v>129840</v>
      </c>
    </row>
    <row r="815" spans="1:38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72"/>
        <v>36-45</v>
      </c>
      <c r="AH815" t="str">
        <f t="shared" si="73"/>
        <v>Very High (10K+)</v>
      </c>
      <c r="AI815" t="str">
        <f t="shared" si="74"/>
        <v>10+ yrs</v>
      </c>
      <c r="AJ815" t="str">
        <f t="shared" si="75"/>
        <v>Good</v>
      </c>
      <c r="AK815" t="str">
        <f t="shared" si="76"/>
        <v>Very Satisfied</v>
      </c>
      <c r="AL815">
        <f t="shared" si="77"/>
        <v>146028</v>
      </c>
    </row>
    <row r="816" spans="1:38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72"/>
        <v>36-45</v>
      </c>
      <c r="AH816" t="str">
        <f t="shared" si="73"/>
        <v>Very High (10K+)</v>
      </c>
      <c r="AI816" t="str">
        <f t="shared" si="74"/>
        <v>10+ yrs</v>
      </c>
      <c r="AJ816" t="str">
        <f t="shared" si="75"/>
        <v>Good</v>
      </c>
      <c r="AK816" t="str">
        <f t="shared" si="76"/>
        <v>Satisfied</v>
      </c>
      <c r="AL816">
        <f t="shared" si="77"/>
        <v>235512</v>
      </c>
    </row>
    <row r="817" spans="1:38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72"/>
        <v>20-25</v>
      </c>
      <c r="AH817" t="str">
        <f t="shared" si="73"/>
        <v>Low (0-3K)</v>
      </c>
      <c r="AI817" t="str">
        <f t="shared" si="74"/>
        <v>0-2 yrs</v>
      </c>
      <c r="AJ817" t="str">
        <f t="shared" si="75"/>
        <v>Good</v>
      </c>
      <c r="AK817" t="str">
        <f t="shared" si="76"/>
        <v>Dissatisfied</v>
      </c>
      <c r="AL817">
        <f t="shared" si="77"/>
        <v>24840</v>
      </c>
    </row>
    <row r="818" spans="1:38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72"/>
        <v>36-45</v>
      </c>
      <c r="AH818" t="str">
        <f t="shared" si="73"/>
        <v>High (6-10K)</v>
      </c>
      <c r="AI818" t="str">
        <f t="shared" si="74"/>
        <v>3-5 yrs</v>
      </c>
      <c r="AJ818" t="str">
        <f t="shared" si="75"/>
        <v>Good</v>
      </c>
      <c r="AK818" t="str">
        <f t="shared" si="76"/>
        <v>Dissatisfied</v>
      </c>
      <c r="AL818">
        <f t="shared" si="77"/>
        <v>81384</v>
      </c>
    </row>
    <row r="819" spans="1:38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72"/>
        <v>36-45</v>
      </c>
      <c r="AH819" t="str">
        <f t="shared" si="73"/>
        <v>High (6-10K)</v>
      </c>
      <c r="AI819" t="str">
        <f t="shared" si="74"/>
        <v>10+ yrs</v>
      </c>
      <c r="AJ819" t="str">
        <f t="shared" si="75"/>
        <v>Excellent</v>
      </c>
      <c r="AK819" t="str">
        <f t="shared" si="76"/>
        <v>Very Satisfied</v>
      </c>
      <c r="AL819">
        <f t="shared" si="77"/>
        <v>93348</v>
      </c>
    </row>
    <row r="820" spans="1:38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72"/>
        <v>26-35</v>
      </c>
      <c r="AH820" t="str">
        <f t="shared" si="73"/>
        <v>Low (0-3K)</v>
      </c>
      <c r="AI820" t="str">
        <f t="shared" si="74"/>
        <v>0-2 yrs</v>
      </c>
      <c r="AJ820" t="str">
        <f t="shared" si="75"/>
        <v>Good</v>
      </c>
      <c r="AK820" t="str">
        <f t="shared" si="76"/>
        <v>Very Satisfied</v>
      </c>
      <c r="AL820">
        <f t="shared" si="77"/>
        <v>33492</v>
      </c>
    </row>
    <row r="821" spans="1:38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72"/>
        <v>26-35</v>
      </c>
      <c r="AH821" t="str">
        <f t="shared" si="73"/>
        <v>Mid (3-6K)</v>
      </c>
      <c r="AI821" t="str">
        <f t="shared" si="74"/>
        <v>3-5 yrs</v>
      </c>
      <c r="AJ821" t="str">
        <f t="shared" si="75"/>
        <v>Good</v>
      </c>
      <c r="AK821" t="str">
        <f t="shared" si="76"/>
        <v>Dissatisfied</v>
      </c>
      <c r="AL821">
        <f t="shared" si="77"/>
        <v>38412</v>
      </c>
    </row>
    <row r="822" spans="1:38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72"/>
        <v>26-35</v>
      </c>
      <c r="AH822" t="str">
        <f t="shared" si="73"/>
        <v>Mid (3-6K)</v>
      </c>
      <c r="AI822" t="str">
        <f t="shared" si="74"/>
        <v>3-5 yrs</v>
      </c>
      <c r="AJ822" t="str">
        <f t="shared" si="75"/>
        <v>Good</v>
      </c>
      <c r="AK822" t="str">
        <f t="shared" si="76"/>
        <v>Very Satisfied</v>
      </c>
      <c r="AL822">
        <f t="shared" si="77"/>
        <v>59616</v>
      </c>
    </row>
    <row r="823" spans="1:38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72"/>
        <v>46+</v>
      </c>
      <c r="AH823" t="str">
        <f t="shared" si="73"/>
        <v>Very High (10K+)</v>
      </c>
      <c r="AI823" t="str">
        <f t="shared" si="74"/>
        <v>6-10 yrs</v>
      </c>
      <c r="AJ823" t="str">
        <f t="shared" si="75"/>
        <v>Good</v>
      </c>
      <c r="AK823" t="str">
        <f t="shared" si="76"/>
        <v>Dissatisfied</v>
      </c>
      <c r="AL823">
        <f t="shared" si="77"/>
        <v>157440</v>
      </c>
    </row>
    <row r="824" spans="1:38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72"/>
        <v>26-35</v>
      </c>
      <c r="AH824" t="str">
        <f t="shared" si="73"/>
        <v>Mid (3-6K)</v>
      </c>
      <c r="AI824" t="str">
        <f t="shared" si="74"/>
        <v>3-5 yrs</v>
      </c>
      <c r="AJ824" t="str">
        <f t="shared" si="75"/>
        <v>Good</v>
      </c>
      <c r="AK824" t="str">
        <f t="shared" si="76"/>
        <v>Satisfied</v>
      </c>
      <c r="AL824">
        <f t="shared" si="77"/>
        <v>48396</v>
      </c>
    </row>
    <row r="825" spans="1:38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72"/>
        <v>26-35</v>
      </c>
      <c r="AH825" t="str">
        <f t="shared" si="73"/>
        <v>Mid (3-6K)</v>
      </c>
      <c r="AI825" t="str">
        <f t="shared" si="74"/>
        <v>6-10 yrs</v>
      </c>
      <c r="AJ825" t="str">
        <f t="shared" si="75"/>
        <v>Good</v>
      </c>
      <c r="AK825" t="str">
        <f t="shared" si="76"/>
        <v>Dissatisfied</v>
      </c>
      <c r="AL825">
        <f t="shared" si="77"/>
        <v>39492</v>
      </c>
    </row>
    <row r="826" spans="1:38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72"/>
        <v>36-45</v>
      </c>
      <c r="AH826" t="str">
        <f t="shared" si="73"/>
        <v>Mid (3-6K)</v>
      </c>
      <c r="AI826" t="str">
        <f t="shared" si="74"/>
        <v>0-2 yrs</v>
      </c>
      <c r="AJ826" t="str">
        <f t="shared" si="75"/>
        <v>Good</v>
      </c>
      <c r="AK826" t="str">
        <f t="shared" si="76"/>
        <v>Very Satisfied</v>
      </c>
      <c r="AL826">
        <f t="shared" si="77"/>
        <v>51264</v>
      </c>
    </row>
    <row r="827" spans="1:38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72"/>
        <v>26-35</v>
      </c>
      <c r="AH827" t="str">
        <f t="shared" si="73"/>
        <v>Mid (3-6K)</v>
      </c>
      <c r="AI827" t="str">
        <f t="shared" si="74"/>
        <v>6-10 yrs</v>
      </c>
      <c r="AJ827" t="str">
        <f t="shared" si="75"/>
        <v>Good</v>
      </c>
      <c r="AK827" t="str">
        <f t="shared" si="76"/>
        <v>Very Satisfied</v>
      </c>
      <c r="AL827">
        <f t="shared" si="77"/>
        <v>60672</v>
      </c>
    </row>
    <row r="828" spans="1:38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72"/>
        <v>36-45</v>
      </c>
      <c r="AH828" t="str">
        <f t="shared" si="73"/>
        <v>Low (0-3K)</v>
      </c>
      <c r="AI828" t="str">
        <f t="shared" si="74"/>
        <v>6-10 yrs</v>
      </c>
      <c r="AJ828" t="str">
        <f t="shared" si="75"/>
        <v>Good</v>
      </c>
      <c r="AK828" t="str">
        <f t="shared" si="76"/>
        <v>Satisfied</v>
      </c>
      <c r="AL828">
        <f t="shared" si="77"/>
        <v>34128</v>
      </c>
    </row>
    <row r="829" spans="1:38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72"/>
        <v>26-35</v>
      </c>
      <c r="AH829" t="str">
        <f t="shared" si="73"/>
        <v>Low (0-3K)</v>
      </c>
      <c r="AI829" t="str">
        <f t="shared" si="74"/>
        <v>3-5 yrs</v>
      </c>
      <c r="AJ829" t="str">
        <f t="shared" si="75"/>
        <v>Good</v>
      </c>
      <c r="AK829" t="str">
        <f t="shared" si="76"/>
        <v>Satisfied</v>
      </c>
      <c r="AL829">
        <f t="shared" si="77"/>
        <v>32436</v>
      </c>
    </row>
    <row r="830" spans="1:38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72"/>
        <v>20-25</v>
      </c>
      <c r="AH830" t="str">
        <f t="shared" si="73"/>
        <v>Low (0-3K)</v>
      </c>
      <c r="AI830" t="str">
        <f t="shared" si="74"/>
        <v>0-2 yrs</v>
      </c>
      <c r="AJ830" t="str">
        <f t="shared" si="75"/>
        <v>Good</v>
      </c>
      <c r="AK830" t="str">
        <f t="shared" si="76"/>
        <v>Satisfied</v>
      </c>
      <c r="AL830">
        <f t="shared" si="77"/>
        <v>22848</v>
      </c>
    </row>
    <row r="831" spans="1:38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72"/>
        <v>26-35</v>
      </c>
      <c r="AH831" t="str">
        <f t="shared" si="73"/>
        <v>High (6-10K)</v>
      </c>
      <c r="AI831" t="str">
        <f t="shared" si="74"/>
        <v>3-5 yrs</v>
      </c>
      <c r="AJ831" t="str">
        <f t="shared" si="75"/>
        <v>Good</v>
      </c>
      <c r="AK831" t="str">
        <f t="shared" si="76"/>
        <v>Very Dissatisfied</v>
      </c>
      <c r="AL831">
        <f t="shared" si="77"/>
        <v>98688</v>
      </c>
    </row>
    <row r="832" spans="1:38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72"/>
        <v>36-45</v>
      </c>
      <c r="AH832" t="str">
        <f t="shared" si="73"/>
        <v>Mid (3-6K)</v>
      </c>
      <c r="AI832" t="str">
        <f t="shared" si="74"/>
        <v>0-2 yrs</v>
      </c>
      <c r="AJ832" t="str">
        <f t="shared" si="75"/>
        <v>Good</v>
      </c>
      <c r="AK832" t="str">
        <f t="shared" si="76"/>
        <v>Very Satisfied</v>
      </c>
      <c r="AL832">
        <f t="shared" si="77"/>
        <v>57192</v>
      </c>
    </row>
    <row r="833" spans="1:38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72"/>
        <v>26-35</v>
      </c>
      <c r="AH833" t="str">
        <f t="shared" si="73"/>
        <v>Low (0-3K)</v>
      </c>
      <c r="AI833" t="str">
        <f t="shared" si="74"/>
        <v>0-2 yrs</v>
      </c>
      <c r="AJ833" t="str">
        <f t="shared" si="75"/>
        <v>Good</v>
      </c>
      <c r="AK833" t="str">
        <f t="shared" si="76"/>
        <v>Satisfied</v>
      </c>
      <c r="AL833">
        <f t="shared" si="77"/>
        <v>31320</v>
      </c>
    </row>
    <row r="834" spans="1:38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si="72"/>
        <v>36-45</v>
      </c>
      <c r="AH834" t="str">
        <f t="shared" si="73"/>
        <v>Mid (3-6K)</v>
      </c>
      <c r="AI834" t="str">
        <f t="shared" si="74"/>
        <v>6-10 yrs</v>
      </c>
      <c r="AJ834" t="str">
        <f t="shared" si="75"/>
        <v>Good</v>
      </c>
      <c r="AK834" t="str">
        <f t="shared" si="76"/>
        <v>Very Satisfied</v>
      </c>
      <c r="AL834">
        <f t="shared" si="77"/>
        <v>68772</v>
      </c>
    </row>
    <row r="835" spans="1:38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ref="AG835:AG898" si="78">IF(A835&lt;=25,"20-25",IF(A835&lt;=35,"26-35",IF(A835&lt;=45,"36-45","46+")))</f>
        <v>26-35</v>
      </c>
      <c r="AH835" t="str">
        <f t="shared" ref="AH835:AH898" si="79">IF(R835&lt;=3000,"Low (0-3K)",IF(R835&lt;=6000,"Mid (3-6K)",IF(R835&lt;=10000,"High (6-10K)","Very High (10K+)")))</f>
        <v>Low (0-3K)</v>
      </c>
      <c r="AI835" t="str">
        <f t="shared" ref="AI835:AI898" si="80">IF(AC835&lt;=2,"0-2 yrs",IF(AC835&lt;=5,"3-5 yrs",IF(AC835&lt;=10,"6-10 yrs","10+ yrs")))</f>
        <v>3-5 yrs</v>
      </c>
      <c r="AJ835" t="str">
        <f t="shared" ref="AJ835:AJ898" si="81">IF(W835=4,"Excellent",IF(W835=3,"Good",IF(W835=2,"Needs Improvement","Poor")))</f>
        <v>Good</v>
      </c>
      <c r="AK835" t="str">
        <f t="shared" ref="AK835:AK898" si="82">IF(P835=4,"Very Satisfied",IF(P835=3,"Satisfied",IF(P835=2,"Dissatisfied","Very Dissatisfied")))</f>
        <v>Satisfied</v>
      </c>
      <c r="AL835">
        <f t="shared" ref="AL835:AL898" si="83">R835*12</f>
        <v>30468</v>
      </c>
    </row>
    <row r="836" spans="1:38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78"/>
        <v>26-35</v>
      </c>
      <c r="AH836" t="str">
        <f t="shared" si="79"/>
        <v>Mid (3-6K)</v>
      </c>
      <c r="AI836" t="str">
        <f t="shared" si="80"/>
        <v>6-10 yrs</v>
      </c>
      <c r="AJ836" t="str">
        <f t="shared" si="81"/>
        <v>Excellent</v>
      </c>
      <c r="AK836" t="str">
        <f t="shared" si="82"/>
        <v>Satisfied</v>
      </c>
      <c r="AL836">
        <f t="shared" si="83"/>
        <v>68568</v>
      </c>
    </row>
    <row r="837" spans="1:38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78"/>
        <v>26-35</v>
      </c>
      <c r="AH837" t="str">
        <f t="shared" si="79"/>
        <v>Mid (3-6K)</v>
      </c>
      <c r="AI837" t="str">
        <f t="shared" si="80"/>
        <v>3-5 yrs</v>
      </c>
      <c r="AJ837" t="str">
        <f t="shared" si="81"/>
        <v>Good</v>
      </c>
      <c r="AK837" t="str">
        <f t="shared" si="82"/>
        <v>Satisfied</v>
      </c>
      <c r="AL837">
        <f t="shared" si="83"/>
        <v>51876</v>
      </c>
    </row>
    <row r="838" spans="1:38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78"/>
        <v>26-35</v>
      </c>
      <c r="AH838" t="str">
        <f t="shared" si="79"/>
        <v>High (6-10K)</v>
      </c>
      <c r="AI838" t="str">
        <f t="shared" si="80"/>
        <v>10+ yrs</v>
      </c>
      <c r="AJ838" t="str">
        <f t="shared" si="81"/>
        <v>Good</v>
      </c>
      <c r="AK838" t="str">
        <f t="shared" si="82"/>
        <v>Very Dissatisfied</v>
      </c>
      <c r="AL838">
        <f t="shared" si="83"/>
        <v>88032</v>
      </c>
    </row>
    <row r="839" spans="1:38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78"/>
        <v>36-45</v>
      </c>
      <c r="AH839" t="str">
        <f t="shared" si="79"/>
        <v>Very High (10K+)</v>
      </c>
      <c r="AI839" t="str">
        <f t="shared" si="80"/>
        <v>10+ yrs</v>
      </c>
      <c r="AJ839" t="str">
        <f t="shared" si="81"/>
        <v>Good</v>
      </c>
      <c r="AK839" t="str">
        <f t="shared" si="82"/>
        <v>Satisfied</v>
      </c>
      <c r="AL839">
        <f t="shared" si="83"/>
        <v>161988</v>
      </c>
    </row>
    <row r="840" spans="1:38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78"/>
        <v>36-45</v>
      </c>
      <c r="AH840" t="str">
        <f t="shared" si="79"/>
        <v>Very High (10K+)</v>
      </c>
      <c r="AI840" t="str">
        <f t="shared" si="80"/>
        <v>10+ yrs</v>
      </c>
      <c r="AJ840" t="str">
        <f t="shared" si="81"/>
        <v>Good</v>
      </c>
      <c r="AK840" t="str">
        <f t="shared" si="82"/>
        <v>Very Dissatisfied</v>
      </c>
      <c r="AL840">
        <f t="shared" si="83"/>
        <v>165096</v>
      </c>
    </row>
    <row r="841" spans="1:38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78"/>
        <v>36-45</v>
      </c>
      <c r="AH841" t="str">
        <f t="shared" si="79"/>
        <v>Mid (3-6K)</v>
      </c>
      <c r="AI841" t="str">
        <f t="shared" si="80"/>
        <v>6-10 yrs</v>
      </c>
      <c r="AJ841" t="str">
        <f t="shared" si="81"/>
        <v>Good</v>
      </c>
      <c r="AK841" t="str">
        <f t="shared" si="82"/>
        <v>Very Dissatisfied</v>
      </c>
      <c r="AL841">
        <f t="shared" si="83"/>
        <v>61860</v>
      </c>
    </row>
    <row r="842" spans="1:38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78"/>
        <v>26-35</v>
      </c>
      <c r="AH842" t="str">
        <f t="shared" si="79"/>
        <v>Low (0-3K)</v>
      </c>
      <c r="AI842" t="str">
        <f t="shared" si="80"/>
        <v>6-10 yrs</v>
      </c>
      <c r="AJ842" t="str">
        <f t="shared" si="81"/>
        <v>Good</v>
      </c>
      <c r="AK842" t="str">
        <f t="shared" si="82"/>
        <v>Satisfied</v>
      </c>
      <c r="AL842">
        <f t="shared" si="83"/>
        <v>27096</v>
      </c>
    </row>
    <row r="843" spans="1:38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78"/>
        <v>20-25</v>
      </c>
      <c r="AH843" t="str">
        <f t="shared" si="79"/>
        <v>Mid (3-6K)</v>
      </c>
      <c r="AI843" t="str">
        <f t="shared" si="80"/>
        <v>3-5 yrs</v>
      </c>
      <c r="AJ843" t="str">
        <f t="shared" si="81"/>
        <v>Excellent</v>
      </c>
      <c r="AK843" t="str">
        <f t="shared" si="82"/>
        <v>Dissatisfied</v>
      </c>
      <c r="AL843">
        <f t="shared" si="83"/>
        <v>43164</v>
      </c>
    </row>
    <row r="844" spans="1:38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78"/>
        <v>26-35</v>
      </c>
      <c r="AH844" t="str">
        <f t="shared" si="79"/>
        <v>Low (0-3K)</v>
      </c>
      <c r="AI844" t="str">
        <f t="shared" si="80"/>
        <v>0-2 yrs</v>
      </c>
      <c r="AJ844" t="str">
        <f t="shared" si="81"/>
        <v>Good</v>
      </c>
      <c r="AK844" t="str">
        <f t="shared" si="82"/>
        <v>Very Satisfied</v>
      </c>
      <c r="AL844">
        <f t="shared" si="83"/>
        <v>30180</v>
      </c>
    </row>
    <row r="845" spans="1:38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78"/>
        <v>26-35</v>
      </c>
      <c r="AH845" t="str">
        <f t="shared" si="79"/>
        <v>Mid (3-6K)</v>
      </c>
      <c r="AI845" t="str">
        <f t="shared" si="80"/>
        <v>6-10 yrs</v>
      </c>
      <c r="AJ845" t="str">
        <f t="shared" si="81"/>
        <v>Excellent</v>
      </c>
      <c r="AK845" t="str">
        <f t="shared" si="82"/>
        <v>Very Satisfied</v>
      </c>
      <c r="AL845">
        <f t="shared" si="83"/>
        <v>53040</v>
      </c>
    </row>
    <row r="846" spans="1:38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78"/>
        <v>26-35</v>
      </c>
      <c r="AH846" t="str">
        <f t="shared" si="79"/>
        <v>High (6-10K)</v>
      </c>
      <c r="AI846" t="str">
        <f t="shared" si="80"/>
        <v>6-10 yrs</v>
      </c>
      <c r="AJ846" t="str">
        <f t="shared" si="81"/>
        <v>Good</v>
      </c>
      <c r="AK846" t="str">
        <f t="shared" si="82"/>
        <v>Satisfied</v>
      </c>
      <c r="AL846">
        <f t="shared" si="83"/>
        <v>78936</v>
      </c>
    </row>
    <row r="847" spans="1:38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78"/>
        <v>36-45</v>
      </c>
      <c r="AH847" t="str">
        <f t="shared" si="79"/>
        <v>Mid (3-6K)</v>
      </c>
      <c r="AI847" t="str">
        <f t="shared" si="80"/>
        <v>0-2 yrs</v>
      </c>
      <c r="AJ847" t="str">
        <f t="shared" si="81"/>
        <v>Good</v>
      </c>
      <c r="AK847" t="str">
        <f t="shared" si="82"/>
        <v>Very Satisfied</v>
      </c>
      <c r="AL847">
        <f t="shared" si="83"/>
        <v>53064</v>
      </c>
    </row>
    <row r="848" spans="1:38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78"/>
        <v>26-35</v>
      </c>
      <c r="AH848" t="str">
        <f t="shared" si="79"/>
        <v>Very High (10K+)</v>
      </c>
      <c r="AI848" t="str">
        <f t="shared" si="80"/>
        <v>6-10 yrs</v>
      </c>
      <c r="AJ848" t="str">
        <f t="shared" si="81"/>
        <v>Good</v>
      </c>
      <c r="AK848" t="str">
        <f t="shared" si="82"/>
        <v>Dissatisfied</v>
      </c>
      <c r="AL848">
        <f t="shared" si="83"/>
        <v>123288</v>
      </c>
    </row>
    <row r="849" spans="1:38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78"/>
        <v>26-35</v>
      </c>
      <c r="AH849" t="str">
        <f t="shared" si="79"/>
        <v>Mid (3-6K)</v>
      </c>
      <c r="AI849" t="str">
        <f t="shared" si="80"/>
        <v>10+ yrs</v>
      </c>
      <c r="AJ849" t="str">
        <f t="shared" si="81"/>
        <v>Excellent</v>
      </c>
      <c r="AK849" t="str">
        <f t="shared" si="82"/>
        <v>Very Dissatisfied</v>
      </c>
      <c r="AL849">
        <f t="shared" si="83"/>
        <v>64116</v>
      </c>
    </row>
    <row r="850" spans="1:38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78"/>
        <v>26-35</v>
      </c>
      <c r="AH850" t="str">
        <f t="shared" si="79"/>
        <v>Low (0-3K)</v>
      </c>
      <c r="AI850" t="str">
        <f t="shared" si="80"/>
        <v>0-2 yrs</v>
      </c>
      <c r="AJ850" t="str">
        <f t="shared" si="81"/>
        <v>Good</v>
      </c>
      <c r="AK850" t="str">
        <f t="shared" si="82"/>
        <v>Very Satisfied</v>
      </c>
      <c r="AL850">
        <f t="shared" si="83"/>
        <v>28512</v>
      </c>
    </row>
    <row r="851" spans="1:38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78"/>
        <v>36-45</v>
      </c>
      <c r="AH851" t="str">
        <f t="shared" si="79"/>
        <v>Mid (3-6K)</v>
      </c>
      <c r="AI851" t="str">
        <f t="shared" si="80"/>
        <v>3-5 yrs</v>
      </c>
      <c r="AJ851" t="str">
        <f t="shared" si="81"/>
        <v>Good</v>
      </c>
      <c r="AK851" t="str">
        <f t="shared" si="82"/>
        <v>Satisfied</v>
      </c>
      <c r="AL851">
        <f t="shared" si="83"/>
        <v>64152</v>
      </c>
    </row>
    <row r="852" spans="1:38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78"/>
        <v>26-35</v>
      </c>
      <c r="AH852" t="str">
        <f t="shared" si="79"/>
        <v>Low (0-3K)</v>
      </c>
      <c r="AI852" t="str">
        <f t="shared" si="80"/>
        <v>0-2 yrs</v>
      </c>
      <c r="AJ852" t="str">
        <f t="shared" si="81"/>
        <v>Good</v>
      </c>
      <c r="AK852" t="str">
        <f t="shared" si="82"/>
        <v>Very Dissatisfied</v>
      </c>
      <c r="AL852">
        <f t="shared" si="83"/>
        <v>33924</v>
      </c>
    </row>
    <row r="853" spans="1:38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78"/>
        <v>46+</v>
      </c>
      <c r="AH853" t="str">
        <f t="shared" si="79"/>
        <v>Very High (10K+)</v>
      </c>
      <c r="AI853" t="str">
        <f t="shared" si="80"/>
        <v>3-5 yrs</v>
      </c>
      <c r="AJ853" t="str">
        <f t="shared" si="81"/>
        <v>Good</v>
      </c>
      <c r="AK853" t="str">
        <f t="shared" si="82"/>
        <v>Very Dissatisfied</v>
      </c>
      <c r="AL853">
        <f t="shared" si="83"/>
        <v>239316</v>
      </c>
    </row>
    <row r="854" spans="1:38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78"/>
        <v>26-35</v>
      </c>
      <c r="AH854" t="str">
        <f t="shared" si="79"/>
        <v>Mid (3-6K)</v>
      </c>
      <c r="AI854" t="str">
        <f t="shared" si="80"/>
        <v>6-10 yrs</v>
      </c>
      <c r="AJ854" t="str">
        <f t="shared" si="81"/>
        <v>Good</v>
      </c>
      <c r="AK854" t="str">
        <f t="shared" si="82"/>
        <v>Very Satisfied</v>
      </c>
      <c r="AL854">
        <f t="shared" si="83"/>
        <v>37572</v>
      </c>
    </row>
    <row r="855" spans="1:38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78"/>
        <v>20-25</v>
      </c>
      <c r="AH855" t="str">
        <f t="shared" si="79"/>
        <v>Low (0-3K)</v>
      </c>
      <c r="AI855" t="str">
        <f t="shared" si="80"/>
        <v>0-2 yrs</v>
      </c>
      <c r="AJ855" t="str">
        <f t="shared" si="81"/>
        <v>Excellent</v>
      </c>
      <c r="AK855" t="str">
        <f t="shared" si="82"/>
        <v>Very Dissatisfied</v>
      </c>
      <c r="AL855">
        <f t="shared" si="83"/>
        <v>30624</v>
      </c>
    </row>
    <row r="856" spans="1:38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78"/>
        <v>36-45</v>
      </c>
      <c r="AH856" t="str">
        <f t="shared" si="79"/>
        <v>Mid (3-6K)</v>
      </c>
      <c r="AI856" t="str">
        <f t="shared" si="80"/>
        <v>3-5 yrs</v>
      </c>
      <c r="AJ856" t="str">
        <f t="shared" si="81"/>
        <v>Good</v>
      </c>
      <c r="AK856" t="str">
        <f t="shared" si="82"/>
        <v>Satisfied</v>
      </c>
      <c r="AL856">
        <f t="shared" si="83"/>
        <v>53724</v>
      </c>
    </row>
    <row r="857" spans="1:38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78"/>
        <v>36-45</v>
      </c>
      <c r="AH857" t="str">
        <f t="shared" si="79"/>
        <v>High (6-10K)</v>
      </c>
      <c r="AI857" t="str">
        <f t="shared" si="80"/>
        <v>10+ yrs</v>
      </c>
      <c r="AJ857" t="str">
        <f t="shared" si="81"/>
        <v>Good</v>
      </c>
      <c r="AK857" t="str">
        <f t="shared" si="82"/>
        <v>Very Satisfied</v>
      </c>
      <c r="AL857">
        <f t="shared" si="83"/>
        <v>77688</v>
      </c>
    </row>
    <row r="858" spans="1:38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78"/>
        <v>20-25</v>
      </c>
      <c r="AH858" t="str">
        <f t="shared" si="79"/>
        <v>Mid (3-6K)</v>
      </c>
      <c r="AI858" t="str">
        <f t="shared" si="80"/>
        <v>0-2 yrs</v>
      </c>
      <c r="AJ858" t="str">
        <f t="shared" si="81"/>
        <v>Good</v>
      </c>
      <c r="AK858" t="str">
        <f t="shared" si="82"/>
        <v>Satisfied</v>
      </c>
      <c r="AL858">
        <f t="shared" si="83"/>
        <v>36396</v>
      </c>
    </row>
    <row r="859" spans="1:38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78"/>
        <v>36-45</v>
      </c>
      <c r="AH859" t="str">
        <f t="shared" si="79"/>
        <v>Low (0-3K)</v>
      </c>
      <c r="AI859" t="str">
        <f t="shared" si="80"/>
        <v>6-10 yrs</v>
      </c>
      <c r="AJ859" t="str">
        <f t="shared" si="81"/>
        <v>Good</v>
      </c>
      <c r="AK859" t="str">
        <f t="shared" si="82"/>
        <v>Satisfied</v>
      </c>
      <c r="AL859">
        <f t="shared" si="83"/>
        <v>35232</v>
      </c>
    </row>
    <row r="860" spans="1:38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78"/>
        <v>46+</v>
      </c>
      <c r="AH860" t="str">
        <f t="shared" si="79"/>
        <v>Very High (10K+)</v>
      </c>
      <c r="AI860" t="str">
        <f t="shared" si="80"/>
        <v>6-10 yrs</v>
      </c>
      <c r="AJ860" t="str">
        <f t="shared" si="81"/>
        <v>Good</v>
      </c>
      <c r="AK860" t="str">
        <f t="shared" si="82"/>
        <v>Satisfied</v>
      </c>
      <c r="AL860">
        <f t="shared" si="83"/>
        <v>223272</v>
      </c>
    </row>
    <row r="861" spans="1:38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78"/>
        <v>26-35</v>
      </c>
      <c r="AH861" t="str">
        <f t="shared" si="79"/>
        <v>Low (0-3K)</v>
      </c>
      <c r="AI861" t="str">
        <f t="shared" si="80"/>
        <v>3-5 yrs</v>
      </c>
      <c r="AJ861" t="str">
        <f t="shared" si="81"/>
        <v>Good</v>
      </c>
      <c r="AK861" t="str">
        <f t="shared" si="82"/>
        <v>Very Satisfied</v>
      </c>
      <c r="AL861">
        <f t="shared" si="83"/>
        <v>26016</v>
      </c>
    </row>
    <row r="862" spans="1:38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78"/>
        <v>20-25</v>
      </c>
      <c r="AH862" t="str">
        <f t="shared" si="79"/>
        <v>Low (0-3K)</v>
      </c>
      <c r="AI862" t="str">
        <f t="shared" si="80"/>
        <v>0-2 yrs</v>
      </c>
      <c r="AJ862" t="str">
        <f t="shared" si="81"/>
        <v>Good</v>
      </c>
      <c r="AK862" t="str">
        <f t="shared" si="82"/>
        <v>Very Satisfied</v>
      </c>
      <c r="AL862">
        <f t="shared" si="83"/>
        <v>34236</v>
      </c>
    </row>
    <row r="863" spans="1:38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78"/>
        <v>46+</v>
      </c>
      <c r="AH863" t="str">
        <f t="shared" si="79"/>
        <v>Very High (10K+)</v>
      </c>
      <c r="AI863" t="str">
        <f t="shared" si="80"/>
        <v>10+ yrs</v>
      </c>
      <c r="AJ863" t="str">
        <f t="shared" si="81"/>
        <v>Excellent</v>
      </c>
      <c r="AK863" t="str">
        <f t="shared" si="82"/>
        <v>Very Dissatisfied</v>
      </c>
      <c r="AL863">
        <f t="shared" si="83"/>
        <v>204576</v>
      </c>
    </row>
    <row r="864" spans="1:38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78"/>
        <v>36-45</v>
      </c>
      <c r="AH864" t="str">
        <f t="shared" si="79"/>
        <v>Low (0-3K)</v>
      </c>
      <c r="AI864" t="str">
        <f t="shared" si="80"/>
        <v>0-2 yrs</v>
      </c>
      <c r="AJ864" t="str">
        <f t="shared" si="81"/>
        <v>Good</v>
      </c>
      <c r="AK864" t="str">
        <f t="shared" si="82"/>
        <v>Satisfied</v>
      </c>
      <c r="AL864">
        <f t="shared" si="83"/>
        <v>27480</v>
      </c>
    </row>
    <row r="865" spans="1:38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78"/>
        <v>26-35</v>
      </c>
      <c r="AH865" t="str">
        <f t="shared" si="79"/>
        <v>Mid (3-6K)</v>
      </c>
      <c r="AI865" t="str">
        <f t="shared" si="80"/>
        <v>3-5 yrs</v>
      </c>
      <c r="AJ865" t="str">
        <f t="shared" si="81"/>
        <v>Good</v>
      </c>
      <c r="AK865" t="str">
        <f t="shared" si="82"/>
        <v>Satisfied</v>
      </c>
      <c r="AL865">
        <f t="shared" si="83"/>
        <v>43200</v>
      </c>
    </row>
    <row r="866" spans="1:38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78"/>
        <v>36-45</v>
      </c>
      <c r="AH866" t="str">
        <f t="shared" si="79"/>
        <v>Low (0-3K)</v>
      </c>
      <c r="AI866" t="str">
        <f t="shared" si="80"/>
        <v>0-2 yrs</v>
      </c>
      <c r="AJ866" t="str">
        <f t="shared" si="81"/>
        <v>Good</v>
      </c>
      <c r="AK866" t="str">
        <f t="shared" si="82"/>
        <v>Very Dissatisfied</v>
      </c>
      <c r="AL866">
        <f t="shared" si="83"/>
        <v>25284</v>
      </c>
    </row>
    <row r="867" spans="1:38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78"/>
        <v>26-35</v>
      </c>
      <c r="AH867" t="str">
        <f t="shared" si="79"/>
        <v>Mid (3-6K)</v>
      </c>
      <c r="AI867" t="str">
        <f t="shared" si="80"/>
        <v>3-5 yrs</v>
      </c>
      <c r="AJ867" t="str">
        <f t="shared" si="81"/>
        <v>Good</v>
      </c>
      <c r="AK867" t="str">
        <f t="shared" si="82"/>
        <v>Very Dissatisfied</v>
      </c>
      <c r="AL867">
        <f t="shared" si="83"/>
        <v>49380</v>
      </c>
    </row>
    <row r="868" spans="1:38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78"/>
        <v>36-45</v>
      </c>
      <c r="AH868" t="str">
        <f t="shared" si="79"/>
        <v>Mid (3-6K)</v>
      </c>
      <c r="AI868" t="str">
        <f t="shared" si="80"/>
        <v>0-2 yrs</v>
      </c>
      <c r="AJ868" t="str">
        <f t="shared" si="81"/>
        <v>Good</v>
      </c>
      <c r="AK868" t="str">
        <f t="shared" si="82"/>
        <v>Dissatisfied</v>
      </c>
      <c r="AL868">
        <f t="shared" si="83"/>
        <v>51924</v>
      </c>
    </row>
    <row r="869" spans="1:38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78"/>
        <v>46+</v>
      </c>
      <c r="AH869" t="str">
        <f t="shared" si="79"/>
        <v>Very High (10K+)</v>
      </c>
      <c r="AI869" t="str">
        <f t="shared" si="80"/>
        <v>0-2 yrs</v>
      </c>
      <c r="AJ869" t="str">
        <f t="shared" si="81"/>
        <v>Excellent</v>
      </c>
      <c r="AK869" t="str">
        <f t="shared" si="82"/>
        <v>Very Dissatisfied</v>
      </c>
      <c r="AL869">
        <f t="shared" si="83"/>
        <v>214272</v>
      </c>
    </row>
    <row r="870" spans="1:38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78"/>
        <v>26-35</v>
      </c>
      <c r="AH870" t="str">
        <f t="shared" si="79"/>
        <v>Mid (3-6K)</v>
      </c>
      <c r="AI870" t="str">
        <f t="shared" si="80"/>
        <v>6-10 yrs</v>
      </c>
      <c r="AJ870" t="str">
        <f t="shared" si="81"/>
        <v>Good</v>
      </c>
      <c r="AK870" t="str">
        <f t="shared" si="82"/>
        <v>Very Dissatisfied</v>
      </c>
      <c r="AL870">
        <f t="shared" si="83"/>
        <v>38352</v>
      </c>
    </row>
    <row r="871" spans="1:38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78"/>
        <v>46+</v>
      </c>
      <c r="AH871" t="str">
        <f t="shared" si="79"/>
        <v>Very High (10K+)</v>
      </c>
      <c r="AI871" t="str">
        <f t="shared" si="80"/>
        <v>3-5 yrs</v>
      </c>
      <c r="AJ871" t="str">
        <f t="shared" si="81"/>
        <v>Good</v>
      </c>
      <c r="AK871" t="str">
        <f t="shared" si="82"/>
        <v>Dissatisfied</v>
      </c>
      <c r="AL871">
        <f t="shared" si="83"/>
        <v>228972</v>
      </c>
    </row>
    <row r="872" spans="1:38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78"/>
        <v>26-35</v>
      </c>
      <c r="AH872" t="str">
        <f t="shared" si="79"/>
        <v>High (6-10K)</v>
      </c>
      <c r="AI872" t="str">
        <f t="shared" si="80"/>
        <v>6-10 yrs</v>
      </c>
      <c r="AJ872" t="str">
        <f t="shared" si="81"/>
        <v>Good</v>
      </c>
      <c r="AK872" t="str">
        <f t="shared" si="82"/>
        <v>Very Dissatisfied</v>
      </c>
      <c r="AL872">
        <f t="shared" si="83"/>
        <v>107592</v>
      </c>
    </row>
    <row r="873" spans="1:38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78"/>
        <v>20-25</v>
      </c>
      <c r="AH873" t="str">
        <f t="shared" si="79"/>
        <v>Low (0-3K)</v>
      </c>
      <c r="AI873" t="str">
        <f t="shared" si="80"/>
        <v>0-2 yrs</v>
      </c>
      <c r="AJ873" t="str">
        <f t="shared" si="81"/>
        <v>Good</v>
      </c>
      <c r="AK873" t="str">
        <f t="shared" si="82"/>
        <v>Dissatisfied</v>
      </c>
      <c r="AL873">
        <f t="shared" si="83"/>
        <v>26520</v>
      </c>
    </row>
    <row r="874" spans="1:38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78"/>
        <v>26-35</v>
      </c>
      <c r="AH874" t="str">
        <f t="shared" si="79"/>
        <v>Mid (3-6K)</v>
      </c>
      <c r="AI874" t="str">
        <f t="shared" si="80"/>
        <v>6-10 yrs</v>
      </c>
      <c r="AJ874" t="str">
        <f t="shared" si="81"/>
        <v>Good</v>
      </c>
      <c r="AK874" t="str">
        <f t="shared" si="82"/>
        <v>Satisfied</v>
      </c>
      <c r="AL874">
        <f t="shared" si="83"/>
        <v>54468</v>
      </c>
    </row>
    <row r="875" spans="1:38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78"/>
        <v>36-45</v>
      </c>
      <c r="AH875" t="str">
        <f t="shared" si="79"/>
        <v>Low (0-3K)</v>
      </c>
      <c r="AI875" t="str">
        <f t="shared" si="80"/>
        <v>6-10 yrs</v>
      </c>
      <c r="AJ875" t="str">
        <f t="shared" si="81"/>
        <v>Good</v>
      </c>
      <c r="AK875" t="str">
        <f t="shared" si="82"/>
        <v>Satisfied</v>
      </c>
      <c r="AL875">
        <f t="shared" si="83"/>
        <v>32892</v>
      </c>
    </row>
    <row r="876" spans="1:38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78"/>
        <v>26-35</v>
      </c>
      <c r="AH876" t="str">
        <f t="shared" si="79"/>
        <v>Mid (3-6K)</v>
      </c>
      <c r="AI876" t="str">
        <f t="shared" si="80"/>
        <v>6-10 yrs</v>
      </c>
      <c r="AJ876" t="str">
        <f t="shared" si="81"/>
        <v>Good</v>
      </c>
      <c r="AK876" t="str">
        <f t="shared" si="82"/>
        <v>Satisfied</v>
      </c>
      <c r="AL876">
        <f t="shared" si="83"/>
        <v>41892</v>
      </c>
    </row>
    <row r="877" spans="1:38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78"/>
        <v>36-45</v>
      </c>
      <c r="AH877" t="str">
        <f t="shared" si="79"/>
        <v>Mid (3-6K)</v>
      </c>
      <c r="AI877" t="str">
        <f t="shared" si="80"/>
        <v>10+ yrs</v>
      </c>
      <c r="AJ877" t="str">
        <f t="shared" si="81"/>
        <v>Excellent</v>
      </c>
      <c r="AK877" t="str">
        <f t="shared" si="82"/>
        <v>Very Satisfied</v>
      </c>
      <c r="AL877">
        <f t="shared" si="83"/>
        <v>54492</v>
      </c>
    </row>
    <row r="878" spans="1:38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78"/>
        <v>20-25</v>
      </c>
      <c r="AH878" t="str">
        <f t="shared" si="79"/>
        <v>Low (0-3K)</v>
      </c>
      <c r="AI878" t="str">
        <f t="shared" si="80"/>
        <v>0-2 yrs</v>
      </c>
      <c r="AJ878" t="str">
        <f t="shared" si="81"/>
        <v>Good</v>
      </c>
      <c r="AK878" t="str">
        <f t="shared" si="82"/>
        <v>Very Satisfied</v>
      </c>
      <c r="AL878">
        <f t="shared" si="83"/>
        <v>32136</v>
      </c>
    </row>
    <row r="879" spans="1:38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78"/>
        <v>46+</v>
      </c>
      <c r="AH879" t="str">
        <f t="shared" si="79"/>
        <v>High (6-10K)</v>
      </c>
      <c r="AI879" t="str">
        <f t="shared" si="80"/>
        <v>6-10 yrs</v>
      </c>
      <c r="AJ879" t="str">
        <f t="shared" si="81"/>
        <v>Good</v>
      </c>
      <c r="AK879" t="str">
        <f t="shared" si="82"/>
        <v>Very Satisfied</v>
      </c>
      <c r="AL879">
        <f t="shared" si="83"/>
        <v>88548</v>
      </c>
    </row>
    <row r="880" spans="1:38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78"/>
        <v>36-45</v>
      </c>
      <c r="AH880" t="str">
        <f t="shared" si="79"/>
        <v>High (6-10K)</v>
      </c>
      <c r="AI880" t="str">
        <f t="shared" si="80"/>
        <v>3-5 yrs</v>
      </c>
      <c r="AJ880" t="str">
        <f t="shared" si="81"/>
        <v>Good</v>
      </c>
      <c r="AK880" t="str">
        <f t="shared" si="82"/>
        <v>Very Dissatisfied</v>
      </c>
      <c r="AL880">
        <f t="shared" si="83"/>
        <v>75264</v>
      </c>
    </row>
    <row r="881" spans="1:38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78"/>
        <v>46+</v>
      </c>
      <c r="AH881" t="str">
        <f t="shared" si="79"/>
        <v>Mid (3-6K)</v>
      </c>
      <c r="AI881" t="str">
        <f t="shared" si="80"/>
        <v>10+ yrs</v>
      </c>
      <c r="AJ881" t="str">
        <f t="shared" si="81"/>
        <v>Good</v>
      </c>
      <c r="AK881" t="str">
        <f t="shared" si="82"/>
        <v>Very Satisfied</v>
      </c>
      <c r="AL881">
        <f t="shared" si="83"/>
        <v>62640</v>
      </c>
    </row>
    <row r="882" spans="1:38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78"/>
        <v>26-35</v>
      </c>
      <c r="AH882" t="str">
        <f t="shared" si="79"/>
        <v>Low (0-3K)</v>
      </c>
      <c r="AI882" t="str">
        <f t="shared" si="80"/>
        <v>0-2 yrs</v>
      </c>
      <c r="AJ882" t="str">
        <f t="shared" si="81"/>
        <v>Excellent</v>
      </c>
      <c r="AK882" t="str">
        <f t="shared" si="82"/>
        <v>Dissatisfied</v>
      </c>
      <c r="AL882">
        <f t="shared" si="83"/>
        <v>32916</v>
      </c>
    </row>
    <row r="883" spans="1:38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78"/>
        <v>26-35</v>
      </c>
      <c r="AH883" t="str">
        <f t="shared" si="79"/>
        <v>Mid (3-6K)</v>
      </c>
      <c r="AI883" t="str">
        <f t="shared" si="80"/>
        <v>6-10 yrs</v>
      </c>
      <c r="AJ883" t="str">
        <f t="shared" si="81"/>
        <v>Good</v>
      </c>
      <c r="AK883" t="str">
        <f t="shared" si="82"/>
        <v>Satisfied</v>
      </c>
      <c r="AL883">
        <f t="shared" si="83"/>
        <v>59976</v>
      </c>
    </row>
    <row r="884" spans="1:38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78"/>
        <v>36-45</v>
      </c>
      <c r="AH884" t="str">
        <f t="shared" si="79"/>
        <v>Very High (10K+)</v>
      </c>
      <c r="AI884" t="str">
        <f t="shared" si="80"/>
        <v>6-10 yrs</v>
      </c>
      <c r="AJ884" t="str">
        <f t="shared" si="81"/>
        <v>Excellent</v>
      </c>
      <c r="AK884" t="str">
        <f t="shared" si="82"/>
        <v>Very Dissatisfied</v>
      </c>
      <c r="AL884">
        <f t="shared" si="83"/>
        <v>123024</v>
      </c>
    </row>
    <row r="885" spans="1:38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78"/>
        <v>26-35</v>
      </c>
      <c r="AH885" t="str">
        <f t="shared" si="79"/>
        <v>Low (0-3K)</v>
      </c>
      <c r="AI885" t="str">
        <f t="shared" si="80"/>
        <v>10+ yrs</v>
      </c>
      <c r="AJ885" t="str">
        <f t="shared" si="81"/>
        <v>Good</v>
      </c>
      <c r="AK885" t="str">
        <f t="shared" si="82"/>
        <v>Very Satisfied</v>
      </c>
      <c r="AL885">
        <f t="shared" si="83"/>
        <v>33372</v>
      </c>
    </row>
    <row r="886" spans="1:38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78"/>
        <v>36-45</v>
      </c>
      <c r="AH886" t="str">
        <f t="shared" si="79"/>
        <v>High (6-10K)</v>
      </c>
      <c r="AI886" t="str">
        <f t="shared" si="80"/>
        <v>3-5 yrs</v>
      </c>
      <c r="AJ886" t="str">
        <f t="shared" si="81"/>
        <v>Good</v>
      </c>
      <c r="AK886" t="str">
        <f t="shared" si="82"/>
        <v>Dissatisfied</v>
      </c>
      <c r="AL886">
        <f t="shared" si="83"/>
        <v>82224</v>
      </c>
    </row>
    <row r="887" spans="1:38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78"/>
        <v>20-25</v>
      </c>
      <c r="AH887" t="str">
        <f t="shared" si="79"/>
        <v>Mid (3-6K)</v>
      </c>
      <c r="AI887" t="str">
        <f t="shared" si="80"/>
        <v>3-5 yrs</v>
      </c>
      <c r="AJ887" t="str">
        <f t="shared" si="81"/>
        <v>Good</v>
      </c>
      <c r="AK887" t="str">
        <f t="shared" si="82"/>
        <v>Very Satisfied</v>
      </c>
      <c r="AL887">
        <f t="shared" si="83"/>
        <v>59400</v>
      </c>
    </row>
    <row r="888" spans="1:38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78"/>
        <v>26-35</v>
      </c>
      <c r="AH888" t="str">
        <f t="shared" si="79"/>
        <v>Mid (3-6K)</v>
      </c>
      <c r="AI888" t="str">
        <f t="shared" si="80"/>
        <v>10+ yrs</v>
      </c>
      <c r="AJ888" t="str">
        <f t="shared" si="81"/>
        <v>Excellent</v>
      </c>
      <c r="AK888" t="str">
        <f t="shared" si="82"/>
        <v>Dissatisfied</v>
      </c>
      <c r="AL888">
        <f t="shared" si="83"/>
        <v>42948</v>
      </c>
    </row>
    <row r="889" spans="1:38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78"/>
        <v>36-45</v>
      </c>
      <c r="AH889" t="str">
        <f t="shared" si="79"/>
        <v>Very High (10K+)</v>
      </c>
      <c r="AI889" t="str">
        <f t="shared" si="80"/>
        <v>0-2 yrs</v>
      </c>
      <c r="AJ889" t="str">
        <f t="shared" si="81"/>
        <v>Good</v>
      </c>
      <c r="AK889" t="str">
        <f t="shared" si="82"/>
        <v>Very Dissatisfied</v>
      </c>
      <c r="AL889">
        <f t="shared" si="83"/>
        <v>158292</v>
      </c>
    </row>
    <row r="890" spans="1:38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78"/>
        <v>26-35</v>
      </c>
      <c r="AH890" t="str">
        <f t="shared" si="79"/>
        <v>Very High (10K+)</v>
      </c>
      <c r="AI890" t="str">
        <f t="shared" si="80"/>
        <v>10+ yrs</v>
      </c>
      <c r="AJ890" t="str">
        <f t="shared" si="81"/>
        <v>Good</v>
      </c>
      <c r="AK890" t="str">
        <f t="shared" si="82"/>
        <v>Very Satisfied</v>
      </c>
      <c r="AL890">
        <f t="shared" si="83"/>
        <v>124524</v>
      </c>
    </row>
    <row r="891" spans="1:38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78"/>
        <v>26-35</v>
      </c>
      <c r="AH891" t="str">
        <f t="shared" si="79"/>
        <v>Low (0-3K)</v>
      </c>
      <c r="AI891" t="str">
        <f t="shared" si="80"/>
        <v>6-10 yrs</v>
      </c>
      <c r="AJ891" t="str">
        <f t="shared" si="81"/>
        <v>Good</v>
      </c>
      <c r="AK891" t="str">
        <f t="shared" si="82"/>
        <v>Very Dissatisfied</v>
      </c>
      <c r="AL891">
        <f t="shared" si="83"/>
        <v>26820</v>
      </c>
    </row>
    <row r="892" spans="1:38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78"/>
        <v>46+</v>
      </c>
      <c r="AH892" t="str">
        <f t="shared" si="79"/>
        <v>Very High (10K+)</v>
      </c>
      <c r="AI892" t="str">
        <f t="shared" si="80"/>
        <v>3-5 yrs</v>
      </c>
      <c r="AJ892" t="str">
        <f t="shared" si="81"/>
        <v>Good</v>
      </c>
      <c r="AK892" t="str">
        <f t="shared" si="82"/>
        <v>Satisfied</v>
      </c>
      <c r="AL892">
        <f t="shared" si="83"/>
        <v>126024</v>
      </c>
    </row>
    <row r="893" spans="1:38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78"/>
        <v>36-45</v>
      </c>
      <c r="AH893" t="str">
        <f t="shared" si="79"/>
        <v>Low (0-3K)</v>
      </c>
      <c r="AI893" t="str">
        <f t="shared" si="80"/>
        <v>6-10 yrs</v>
      </c>
      <c r="AJ893" t="str">
        <f t="shared" si="81"/>
        <v>Good</v>
      </c>
      <c r="AK893" t="str">
        <f t="shared" si="82"/>
        <v>Very Satisfied</v>
      </c>
      <c r="AL893">
        <f t="shared" si="83"/>
        <v>24132</v>
      </c>
    </row>
    <row r="894" spans="1:38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78"/>
        <v>20-25</v>
      </c>
      <c r="AH894" t="str">
        <f t="shared" si="79"/>
        <v>Low (0-3K)</v>
      </c>
      <c r="AI894" t="str">
        <f t="shared" si="80"/>
        <v>0-2 yrs</v>
      </c>
      <c r="AJ894" t="str">
        <f t="shared" si="81"/>
        <v>Excellent</v>
      </c>
      <c r="AK894" t="str">
        <f t="shared" si="82"/>
        <v>Dissatisfied</v>
      </c>
      <c r="AL894">
        <f t="shared" si="83"/>
        <v>22308</v>
      </c>
    </row>
    <row r="895" spans="1:38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78"/>
        <v>26-35</v>
      </c>
      <c r="AH895" t="str">
        <f t="shared" si="79"/>
        <v>Mid (3-6K)</v>
      </c>
      <c r="AI895" t="str">
        <f t="shared" si="80"/>
        <v>3-5 yrs</v>
      </c>
      <c r="AJ895" t="str">
        <f t="shared" si="81"/>
        <v>Good</v>
      </c>
      <c r="AK895" t="str">
        <f t="shared" si="82"/>
        <v>Very Satisfied</v>
      </c>
      <c r="AL895">
        <f t="shared" si="83"/>
        <v>45120</v>
      </c>
    </row>
    <row r="896" spans="1:38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78"/>
        <v>46+</v>
      </c>
      <c r="AH896" t="str">
        <f t="shared" si="79"/>
        <v>Very High (10K+)</v>
      </c>
      <c r="AI896" t="str">
        <f t="shared" si="80"/>
        <v>6-10 yrs</v>
      </c>
      <c r="AJ896" t="str">
        <f t="shared" si="81"/>
        <v>Good</v>
      </c>
      <c r="AK896" t="str">
        <f t="shared" si="82"/>
        <v>Very Satisfied</v>
      </c>
      <c r="AL896">
        <f t="shared" si="83"/>
        <v>213348</v>
      </c>
    </row>
    <row r="897" spans="1:38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78"/>
        <v>26-35</v>
      </c>
      <c r="AH897" t="str">
        <f t="shared" si="79"/>
        <v>High (6-10K)</v>
      </c>
      <c r="AI897" t="str">
        <f t="shared" si="80"/>
        <v>6-10 yrs</v>
      </c>
      <c r="AJ897" t="str">
        <f t="shared" si="81"/>
        <v>Good</v>
      </c>
      <c r="AK897" t="str">
        <f t="shared" si="82"/>
        <v>Very Dissatisfied</v>
      </c>
      <c r="AL897">
        <f t="shared" si="83"/>
        <v>81996</v>
      </c>
    </row>
    <row r="898" spans="1:38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si="78"/>
        <v>26-35</v>
      </c>
      <c r="AH898" t="str">
        <f t="shared" si="79"/>
        <v>High (6-10K)</v>
      </c>
      <c r="AI898" t="str">
        <f t="shared" si="80"/>
        <v>6-10 yrs</v>
      </c>
      <c r="AJ898" t="str">
        <f t="shared" si="81"/>
        <v>Good</v>
      </c>
      <c r="AK898" t="str">
        <f t="shared" si="82"/>
        <v>Very Dissatisfied</v>
      </c>
      <c r="AL898">
        <f t="shared" si="83"/>
        <v>81744</v>
      </c>
    </row>
    <row r="899" spans="1:38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ref="AG899:AG962" si="84">IF(A899&lt;=25,"20-25",IF(A899&lt;=35,"26-35",IF(A899&lt;=45,"36-45","46+")))</f>
        <v>46+</v>
      </c>
      <c r="AH899" t="str">
        <f t="shared" ref="AH899:AH962" si="85">IF(R899&lt;=3000,"Low (0-3K)",IF(R899&lt;=6000,"Mid (3-6K)",IF(R899&lt;=10000,"High (6-10K)","Very High (10K+)")))</f>
        <v>Mid (3-6K)</v>
      </c>
      <c r="AI899" t="str">
        <f t="shared" ref="AI899:AI962" si="86">IF(AC899&lt;=2,"0-2 yrs",IF(AC899&lt;=5,"3-5 yrs",IF(AC899&lt;=10,"6-10 yrs","10+ yrs")))</f>
        <v>6-10 yrs</v>
      </c>
      <c r="AJ899" t="str">
        <f t="shared" ref="AJ899:AJ962" si="87">IF(W899=4,"Excellent",IF(W899=3,"Good",IF(W899=2,"Needs Improvement","Poor")))</f>
        <v>Good</v>
      </c>
      <c r="AK899" t="str">
        <f t="shared" ref="AK899:AK962" si="88">IF(P899=4,"Very Satisfied",IF(P899=3,"Satisfied",IF(P899=2,"Dissatisfied","Very Dissatisfied")))</f>
        <v>Very Satisfied</v>
      </c>
      <c r="AL899">
        <f t="shared" ref="AL899:AL962" si="89">R899*12</f>
        <v>62052</v>
      </c>
    </row>
    <row r="900" spans="1:38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84"/>
        <v>36-45</v>
      </c>
      <c r="AH900" t="str">
        <f t="shared" si="85"/>
        <v>Very High (10K+)</v>
      </c>
      <c r="AI900" t="str">
        <f t="shared" si="86"/>
        <v>6-10 yrs</v>
      </c>
      <c r="AJ900" t="str">
        <f t="shared" si="87"/>
        <v>Good</v>
      </c>
      <c r="AK900" t="str">
        <f t="shared" si="88"/>
        <v>Very Satisfied</v>
      </c>
      <c r="AL900">
        <f t="shared" si="89"/>
        <v>236880</v>
      </c>
    </row>
    <row r="901" spans="1:38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84"/>
        <v>46+</v>
      </c>
      <c r="AH901" t="str">
        <f t="shared" si="85"/>
        <v>Very High (10K+)</v>
      </c>
      <c r="AI901" t="str">
        <f t="shared" si="86"/>
        <v>0-2 yrs</v>
      </c>
      <c r="AJ901" t="str">
        <f t="shared" si="87"/>
        <v>Good</v>
      </c>
      <c r="AK901" t="str">
        <f t="shared" si="88"/>
        <v>Satisfied</v>
      </c>
      <c r="AL901">
        <f t="shared" si="89"/>
        <v>224532</v>
      </c>
    </row>
    <row r="902" spans="1:38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84"/>
        <v>36-45</v>
      </c>
      <c r="AH902" t="str">
        <f t="shared" si="85"/>
        <v>Mid (3-6K)</v>
      </c>
      <c r="AI902" t="str">
        <f t="shared" si="86"/>
        <v>10+ yrs</v>
      </c>
      <c r="AJ902" t="str">
        <f t="shared" si="87"/>
        <v>Good</v>
      </c>
      <c r="AK902" t="str">
        <f t="shared" si="88"/>
        <v>Dissatisfied</v>
      </c>
      <c r="AL902">
        <f t="shared" si="89"/>
        <v>44304</v>
      </c>
    </row>
    <row r="903" spans="1:38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84"/>
        <v>46+</v>
      </c>
      <c r="AH903" t="str">
        <f t="shared" si="85"/>
        <v>Low (0-3K)</v>
      </c>
      <c r="AI903" t="str">
        <f t="shared" si="86"/>
        <v>0-2 yrs</v>
      </c>
      <c r="AJ903" t="str">
        <f t="shared" si="87"/>
        <v>Good</v>
      </c>
      <c r="AK903" t="str">
        <f t="shared" si="88"/>
        <v>Dissatisfied</v>
      </c>
      <c r="AL903">
        <f t="shared" si="89"/>
        <v>30708</v>
      </c>
    </row>
    <row r="904" spans="1:38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84"/>
        <v>26-35</v>
      </c>
      <c r="AH904" t="str">
        <f t="shared" si="85"/>
        <v>Low (0-3K)</v>
      </c>
      <c r="AI904" t="str">
        <f t="shared" si="86"/>
        <v>3-5 yrs</v>
      </c>
      <c r="AJ904" t="str">
        <f t="shared" si="87"/>
        <v>Good</v>
      </c>
      <c r="AK904" t="str">
        <f t="shared" si="88"/>
        <v>Satisfied</v>
      </c>
      <c r="AL904">
        <f t="shared" si="89"/>
        <v>30204</v>
      </c>
    </row>
    <row r="905" spans="1:38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84"/>
        <v>26-35</v>
      </c>
      <c r="AH905" t="str">
        <f t="shared" si="85"/>
        <v>High (6-10K)</v>
      </c>
      <c r="AI905" t="str">
        <f t="shared" si="86"/>
        <v>6-10 yrs</v>
      </c>
      <c r="AJ905" t="str">
        <f t="shared" si="87"/>
        <v>Good</v>
      </c>
      <c r="AK905" t="str">
        <f t="shared" si="88"/>
        <v>Very Satisfied</v>
      </c>
      <c r="AL905">
        <f t="shared" si="89"/>
        <v>79476</v>
      </c>
    </row>
    <row r="906" spans="1:38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84"/>
        <v>46+</v>
      </c>
      <c r="AH906" t="str">
        <f t="shared" si="85"/>
        <v>Very High (10K+)</v>
      </c>
      <c r="AI906" t="str">
        <f t="shared" si="86"/>
        <v>0-2 yrs</v>
      </c>
      <c r="AJ906" t="str">
        <f t="shared" si="87"/>
        <v>Good</v>
      </c>
      <c r="AK906" t="str">
        <f t="shared" si="88"/>
        <v>Very Satisfied</v>
      </c>
      <c r="AL906">
        <f t="shared" si="89"/>
        <v>219180</v>
      </c>
    </row>
    <row r="907" spans="1:38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84"/>
        <v>26-35</v>
      </c>
      <c r="AH907" t="str">
        <f t="shared" si="85"/>
        <v>Very High (10K+)</v>
      </c>
      <c r="AI907" t="str">
        <f t="shared" si="86"/>
        <v>6-10 yrs</v>
      </c>
      <c r="AJ907" t="str">
        <f t="shared" si="87"/>
        <v>Good</v>
      </c>
      <c r="AK907" t="str">
        <f t="shared" si="88"/>
        <v>Very Satisfied</v>
      </c>
      <c r="AL907">
        <f t="shared" si="89"/>
        <v>193488</v>
      </c>
    </row>
    <row r="908" spans="1:38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84"/>
        <v>26-35</v>
      </c>
      <c r="AH908" t="str">
        <f t="shared" si="85"/>
        <v>Low (0-3K)</v>
      </c>
      <c r="AI908" t="str">
        <f t="shared" si="86"/>
        <v>0-2 yrs</v>
      </c>
      <c r="AJ908" t="str">
        <f t="shared" si="87"/>
        <v>Good</v>
      </c>
      <c r="AK908" t="str">
        <f t="shared" si="88"/>
        <v>Satisfied</v>
      </c>
      <c r="AL908">
        <f t="shared" si="89"/>
        <v>31020</v>
      </c>
    </row>
    <row r="909" spans="1:38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84"/>
        <v>36-45</v>
      </c>
      <c r="AH909" t="str">
        <f t="shared" si="85"/>
        <v>Very High (10K+)</v>
      </c>
      <c r="AI909" t="str">
        <f t="shared" si="86"/>
        <v>10+ yrs</v>
      </c>
      <c r="AJ909" t="str">
        <f t="shared" si="87"/>
        <v>Good</v>
      </c>
      <c r="AK909" t="str">
        <f t="shared" si="88"/>
        <v>Dissatisfied</v>
      </c>
      <c r="AL909">
        <f t="shared" si="89"/>
        <v>218556</v>
      </c>
    </row>
    <row r="910" spans="1:38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84"/>
        <v>26-35</v>
      </c>
      <c r="AH910" t="str">
        <f t="shared" si="85"/>
        <v>High (6-10K)</v>
      </c>
      <c r="AI910" t="str">
        <f t="shared" si="86"/>
        <v>6-10 yrs</v>
      </c>
      <c r="AJ910" t="str">
        <f t="shared" si="87"/>
        <v>Good</v>
      </c>
      <c r="AK910" t="str">
        <f t="shared" si="88"/>
        <v>Satisfied</v>
      </c>
      <c r="AL910">
        <f t="shared" si="89"/>
        <v>100560</v>
      </c>
    </row>
    <row r="911" spans="1:38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84"/>
        <v>20-25</v>
      </c>
      <c r="AH911" t="str">
        <f t="shared" si="85"/>
        <v>Low (0-3K)</v>
      </c>
      <c r="AI911" t="str">
        <f t="shared" si="86"/>
        <v>0-2 yrs</v>
      </c>
      <c r="AJ911" t="str">
        <f t="shared" si="87"/>
        <v>Good</v>
      </c>
      <c r="AK911" t="str">
        <f t="shared" si="88"/>
        <v>Very Satisfied</v>
      </c>
      <c r="AL911">
        <f t="shared" si="89"/>
        <v>35928</v>
      </c>
    </row>
    <row r="912" spans="1:38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84"/>
        <v>20-25</v>
      </c>
      <c r="AH912" t="str">
        <f t="shared" si="85"/>
        <v>Low (0-3K)</v>
      </c>
      <c r="AI912" t="str">
        <f t="shared" si="86"/>
        <v>0-2 yrs</v>
      </c>
      <c r="AJ912" t="str">
        <f t="shared" si="87"/>
        <v>Excellent</v>
      </c>
      <c r="AK912" t="str">
        <f t="shared" si="88"/>
        <v>Satisfied</v>
      </c>
      <c r="AL912">
        <f t="shared" si="89"/>
        <v>14676</v>
      </c>
    </row>
    <row r="913" spans="1:38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84"/>
        <v>20-25</v>
      </c>
      <c r="AH913" t="str">
        <f t="shared" si="85"/>
        <v>Low (0-3K)</v>
      </c>
      <c r="AI913" t="str">
        <f t="shared" si="86"/>
        <v>0-2 yrs</v>
      </c>
      <c r="AJ913" t="str">
        <f t="shared" si="87"/>
        <v>Good</v>
      </c>
      <c r="AK913" t="str">
        <f t="shared" si="88"/>
        <v>Very Satisfied</v>
      </c>
      <c r="AL913">
        <f t="shared" si="89"/>
        <v>13416</v>
      </c>
    </row>
    <row r="914" spans="1:38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84"/>
        <v>26-35</v>
      </c>
      <c r="AH914" t="str">
        <f t="shared" si="85"/>
        <v>Low (0-3K)</v>
      </c>
      <c r="AI914" t="str">
        <f t="shared" si="86"/>
        <v>6-10 yrs</v>
      </c>
      <c r="AJ914" t="str">
        <f t="shared" si="87"/>
        <v>Excellent</v>
      </c>
      <c r="AK914" t="str">
        <f t="shared" si="88"/>
        <v>Very Satisfied</v>
      </c>
      <c r="AL914">
        <f t="shared" si="89"/>
        <v>34500</v>
      </c>
    </row>
    <row r="915" spans="1:38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84"/>
        <v>36-45</v>
      </c>
      <c r="AH915" t="str">
        <f t="shared" si="85"/>
        <v>Very High (10K+)</v>
      </c>
      <c r="AI915" t="str">
        <f t="shared" si="86"/>
        <v>10+ yrs</v>
      </c>
      <c r="AJ915" t="str">
        <f t="shared" si="87"/>
        <v>Good</v>
      </c>
      <c r="AK915" t="str">
        <f t="shared" si="88"/>
        <v>Dissatisfied</v>
      </c>
      <c r="AL915">
        <f t="shared" si="89"/>
        <v>225888</v>
      </c>
    </row>
    <row r="916" spans="1:38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84"/>
        <v>46+</v>
      </c>
      <c r="AH916" t="str">
        <f t="shared" si="85"/>
        <v>Very High (10K+)</v>
      </c>
      <c r="AI916" t="str">
        <f t="shared" si="86"/>
        <v>10+ yrs</v>
      </c>
      <c r="AJ916" t="str">
        <f t="shared" si="87"/>
        <v>Good</v>
      </c>
      <c r="AK916" t="str">
        <f t="shared" si="88"/>
        <v>Dissatisfied</v>
      </c>
      <c r="AL916">
        <f t="shared" si="89"/>
        <v>162924</v>
      </c>
    </row>
    <row r="917" spans="1:38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84"/>
        <v>20-25</v>
      </c>
      <c r="AH917" t="str">
        <f t="shared" si="85"/>
        <v>Low (0-3K)</v>
      </c>
      <c r="AI917" t="str">
        <f t="shared" si="86"/>
        <v>0-2 yrs</v>
      </c>
      <c r="AJ917" t="str">
        <f t="shared" si="87"/>
        <v>Excellent</v>
      </c>
      <c r="AK917" t="str">
        <f t="shared" si="88"/>
        <v>Satisfied</v>
      </c>
      <c r="AL917">
        <f t="shared" si="89"/>
        <v>31500</v>
      </c>
    </row>
    <row r="918" spans="1:38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84"/>
        <v>46+</v>
      </c>
      <c r="AH918" t="str">
        <f t="shared" si="85"/>
        <v>Very High (10K+)</v>
      </c>
      <c r="AI918" t="str">
        <f t="shared" si="86"/>
        <v>10+ yrs</v>
      </c>
      <c r="AJ918" t="str">
        <f t="shared" si="87"/>
        <v>Good</v>
      </c>
      <c r="AK918" t="str">
        <f t="shared" si="88"/>
        <v>Dissatisfied</v>
      </c>
      <c r="AL918">
        <f t="shared" si="89"/>
        <v>225468</v>
      </c>
    </row>
    <row r="919" spans="1:38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84"/>
        <v>26-35</v>
      </c>
      <c r="AH919" t="str">
        <f t="shared" si="85"/>
        <v>Mid (3-6K)</v>
      </c>
      <c r="AI919" t="str">
        <f t="shared" si="86"/>
        <v>3-5 yrs</v>
      </c>
      <c r="AJ919" t="str">
        <f t="shared" si="87"/>
        <v>Good</v>
      </c>
      <c r="AK919" t="str">
        <f t="shared" si="88"/>
        <v>Very Dissatisfied</v>
      </c>
      <c r="AL919">
        <f t="shared" si="89"/>
        <v>54456</v>
      </c>
    </row>
    <row r="920" spans="1:38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84"/>
        <v>46+</v>
      </c>
      <c r="AH920" t="str">
        <f t="shared" si="85"/>
        <v>Very High (10K+)</v>
      </c>
      <c r="AI920" t="str">
        <f t="shared" si="86"/>
        <v>10+ yrs</v>
      </c>
      <c r="AJ920" t="str">
        <f t="shared" si="87"/>
        <v>Excellent</v>
      </c>
      <c r="AK920" t="str">
        <f t="shared" si="88"/>
        <v>Dissatisfied</v>
      </c>
      <c r="AL920">
        <f t="shared" si="89"/>
        <v>238164</v>
      </c>
    </row>
    <row r="921" spans="1:38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84"/>
        <v>46+</v>
      </c>
      <c r="AH921" t="str">
        <f t="shared" si="85"/>
        <v>Very High (10K+)</v>
      </c>
      <c r="AI921" t="str">
        <f t="shared" si="86"/>
        <v>6-10 yrs</v>
      </c>
      <c r="AJ921" t="str">
        <f t="shared" si="87"/>
        <v>Good</v>
      </c>
      <c r="AK921" t="str">
        <f t="shared" si="88"/>
        <v>Very Satisfied</v>
      </c>
      <c r="AL921">
        <f t="shared" si="89"/>
        <v>126144</v>
      </c>
    </row>
    <row r="922" spans="1:38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84"/>
        <v>26-35</v>
      </c>
      <c r="AH922" t="str">
        <f t="shared" si="85"/>
        <v>Mid (3-6K)</v>
      </c>
      <c r="AI922" t="str">
        <f t="shared" si="86"/>
        <v>10+ yrs</v>
      </c>
      <c r="AJ922" t="str">
        <f t="shared" si="87"/>
        <v>Good</v>
      </c>
      <c r="AK922" t="str">
        <f t="shared" si="88"/>
        <v>Dissatisfied</v>
      </c>
      <c r="AL922">
        <f t="shared" si="89"/>
        <v>53328</v>
      </c>
    </row>
    <row r="923" spans="1:38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84"/>
        <v>26-35</v>
      </c>
      <c r="AH923" t="str">
        <f t="shared" si="85"/>
        <v>Low (0-3K)</v>
      </c>
      <c r="AI923" t="str">
        <f t="shared" si="86"/>
        <v>3-5 yrs</v>
      </c>
      <c r="AJ923" t="str">
        <f t="shared" si="87"/>
        <v>Good</v>
      </c>
      <c r="AK923" t="str">
        <f t="shared" si="88"/>
        <v>Satisfied</v>
      </c>
      <c r="AL923">
        <f t="shared" si="89"/>
        <v>25848</v>
      </c>
    </row>
    <row r="924" spans="1:38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84"/>
        <v>36-45</v>
      </c>
      <c r="AH924" t="str">
        <f t="shared" si="85"/>
        <v>Very High (10K+)</v>
      </c>
      <c r="AI924" t="str">
        <f t="shared" si="86"/>
        <v>10+ yrs</v>
      </c>
      <c r="AJ924" t="str">
        <f t="shared" si="87"/>
        <v>Good</v>
      </c>
      <c r="AK924" t="str">
        <f t="shared" si="88"/>
        <v>Very Dissatisfied</v>
      </c>
      <c r="AL924">
        <f t="shared" si="89"/>
        <v>230280</v>
      </c>
    </row>
    <row r="925" spans="1:38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84"/>
        <v>26-35</v>
      </c>
      <c r="AH925" t="str">
        <f t="shared" si="85"/>
        <v>Mid (3-6K)</v>
      </c>
      <c r="AI925" t="str">
        <f t="shared" si="86"/>
        <v>6-10 yrs</v>
      </c>
      <c r="AJ925" t="str">
        <f t="shared" si="87"/>
        <v>Good</v>
      </c>
      <c r="AK925" t="str">
        <f t="shared" si="88"/>
        <v>Dissatisfied</v>
      </c>
      <c r="AL925">
        <f t="shared" si="89"/>
        <v>53880</v>
      </c>
    </row>
    <row r="926" spans="1:38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84"/>
        <v>26-35</v>
      </c>
      <c r="AH926" t="str">
        <f t="shared" si="85"/>
        <v>Mid (3-6K)</v>
      </c>
      <c r="AI926" t="str">
        <f t="shared" si="86"/>
        <v>3-5 yrs</v>
      </c>
      <c r="AJ926" t="str">
        <f t="shared" si="87"/>
        <v>Good</v>
      </c>
      <c r="AK926" t="str">
        <f t="shared" si="88"/>
        <v>Satisfied</v>
      </c>
      <c r="AL926">
        <f t="shared" si="89"/>
        <v>42072</v>
      </c>
    </row>
    <row r="927" spans="1:38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84"/>
        <v>36-45</v>
      </c>
      <c r="AH927" t="str">
        <f t="shared" si="85"/>
        <v>Low (0-3K)</v>
      </c>
      <c r="AI927" t="str">
        <f t="shared" si="86"/>
        <v>0-2 yrs</v>
      </c>
      <c r="AJ927" t="str">
        <f t="shared" si="87"/>
        <v>Good</v>
      </c>
      <c r="AK927" t="str">
        <f t="shared" si="88"/>
        <v>Dissatisfied</v>
      </c>
      <c r="AL927">
        <f t="shared" si="89"/>
        <v>28464</v>
      </c>
    </row>
    <row r="928" spans="1:38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84"/>
        <v>36-45</v>
      </c>
      <c r="AH928" t="str">
        <f t="shared" si="85"/>
        <v>Very High (10K+)</v>
      </c>
      <c r="AI928" t="str">
        <f t="shared" si="86"/>
        <v>10+ yrs</v>
      </c>
      <c r="AJ928" t="str">
        <f t="shared" si="87"/>
        <v>Good</v>
      </c>
      <c r="AK928" t="str">
        <f t="shared" si="88"/>
        <v>Very Satisfied</v>
      </c>
      <c r="AL928">
        <f t="shared" si="89"/>
        <v>122772</v>
      </c>
    </row>
    <row r="929" spans="1:38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84"/>
        <v>36-45</v>
      </c>
      <c r="AH929" t="str">
        <f t="shared" si="85"/>
        <v>Mid (3-6K)</v>
      </c>
      <c r="AI929" t="str">
        <f t="shared" si="86"/>
        <v>10+ yrs</v>
      </c>
      <c r="AJ929" t="str">
        <f t="shared" si="87"/>
        <v>Good</v>
      </c>
      <c r="AK929" t="str">
        <f t="shared" si="88"/>
        <v>Dissatisfied</v>
      </c>
      <c r="AL929">
        <f t="shared" si="89"/>
        <v>64920</v>
      </c>
    </row>
    <row r="930" spans="1:38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84"/>
        <v>36-45</v>
      </c>
      <c r="AH930" t="str">
        <f t="shared" si="85"/>
        <v>High (6-10K)</v>
      </c>
      <c r="AI930" t="str">
        <f t="shared" si="86"/>
        <v>6-10 yrs</v>
      </c>
      <c r="AJ930" t="str">
        <f t="shared" si="87"/>
        <v>Good</v>
      </c>
      <c r="AK930" t="str">
        <f t="shared" si="88"/>
        <v>Very Satisfied</v>
      </c>
      <c r="AL930">
        <f t="shared" si="89"/>
        <v>95736</v>
      </c>
    </row>
    <row r="931" spans="1:38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84"/>
        <v>26-35</v>
      </c>
      <c r="AH931" t="str">
        <f t="shared" si="85"/>
        <v>Mid (3-6K)</v>
      </c>
      <c r="AI931" t="str">
        <f t="shared" si="86"/>
        <v>0-2 yrs</v>
      </c>
      <c r="AJ931" t="str">
        <f t="shared" si="87"/>
        <v>Good</v>
      </c>
      <c r="AK931" t="str">
        <f t="shared" si="88"/>
        <v>Very Satisfied</v>
      </c>
      <c r="AL931">
        <f t="shared" si="89"/>
        <v>46404</v>
      </c>
    </row>
    <row r="932" spans="1:38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84"/>
        <v>46+</v>
      </c>
      <c r="AH932" t="str">
        <f t="shared" si="85"/>
        <v>Low (0-3K)</v>
      </c>
      <c r="AI932" t="str">
        <f t="shared" si="86"/>
        <v>6-10 yrs</v>
      </c>
      <c r="AJ932" t="str">
        <f t="shared" si="87"/>
        <v>Good</v>
      </c>
      <c r="AK932" t="str">
        <f t="shared" si="88"/>
        <v>Satisfied</v>
      </c>
      <c r="AL932">
        <f t="shared" si="89"/>
        <v>34056</v>
      </c>
    </row>
    <row r="933" spans="1:38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84"/>
        <v>26-35</v>
      </c>
      <c r="AH933" t="str">
        <f t="shared" si="85"/>
        <v>Mid (3-6K)</v>
      </c>
      <c r="AI933" t="str">
        <f t="shared" si="86"/>
        <v>6-10 yrs</v>
      </c>
      <c r="AJ933" t="str">
        <f t="shared" si="87"/>
        <v>Good</v>
      </c>
      <c r="AK933" t="str">
        <f t="shared" si="88"/>
        <v>Satisfied</v>
      </c>
      <c r="AL933">
        <f t="shared" si="89"/>
        <v>56340</v>
      </c>
    </row>
    <row r="934" spans="1:38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84"/>
        <v>26-35</v>
      </c>
      <c r="AH934" t="str">
        <f t="shared" si="85"/>
        <v>Mid (3-6K)</v>
      </c>
      <c r="AI934" t="str">
        <f t="shared" si="86"/>
        <v>6-10 yrs</v>
      </c>
      <c r="AJ934" t="str">
        <f t="shared" si="87"/>
        <v>Good</v>
      </c>
      <c r="AK934" t="str">
        <f t="shared" si="88"/>
        <v>Satisfied</v>
      </c>
      <c r="AL934">
        <f t="shared" si="89"/>
        <v>40068</v>
      </c>
    </row>
    <row r="935" spans="1:38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84"/>
        <v>26-35</v>
      </c>
      <c r="AH935" t="str">
        <f t="shared" si="85"/>
        <v>Low (0-3K)</v>
      </c>
      <c r="AI935" t="str">
        <f t="shared" si="86"/>
        <v>3-5 yrs</v>
      </c>
      <c r="AJ935" t="str">
        <f t="shared" si="87"/>
        <v>Good</v>
      </c>
      <c r="AK935" t="str">
        <f t="shared" si="88"/>
        <v>Very Dissatisfied</v>
      </c>
      <c r="AL935">
        <f t="shared" si="89"/>
        <v>24960</v>
      </c>
    </row>
    <row r="936" spans="1:38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84"/>
        <v>20-25</v>
      </c>
      <c r="AH936" t="str">
        <f t="shared" si="85"/>
        <v>Low (0-3K)</v>
      </c>
      <c r="AI936" t="str">
        <f t="shared" si="86"/>
        <v>0-2 yrs</v>
      </c>
      <c r="AJ936" t="str">
        <f t="shared" si="87"/>
        <v>Good</v>
      </c>
      <c r="AK936" t="str">
        <f t="shared" si="88"/>
        <v>Dissatisfied</v>
      </c>
      <c r="AL936">
        <f t="shared" si="89"/>
        <v>25152</v>
      </c>
    </row>
    <row r="937" spans="1:38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84"/>
        <v>26-35</v>
      </c>
      <c r="AH937" t="str">
        <f t="shared" si="85"/>
        <v>High (6-10K)</v>
      </c>
      <c r="AI937" t="str">
        <f t="shared" si="86"/>
        <v>6-10 yrs</v>
      </c>
      <c r="AJ937" t="str">
        <f t="shared" si="87"/>
        <v>Good</v>
      </c>
      <c r="AK937" t="str">
        <f t="shared" si="88"/>
        <v>Very Satisfied</v>
      </c>
      <c r="AL937">
        <f t="shared" si="89"/>
        <v>74508</v>
      </c>
    </row>
    <row r="938" spans="1:38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84"/>
        <v>36-45</v>
      </c>
      <c r="AH938" t="str">
        <f t="shared" si="85"/>
        <v>Very High (10K+)</v>
      </c>
      <c r="AI938" t="str">
        <f t="shared" si="86"/>
        <v>0-2 yrs</v>
      </c>
      <c r="AJ938" t="str">
        <f t="shared" si="87"/>
        <v>Excellent</v>
      </c>
      <c r="AK938" t="str">
        <f t="shared" si="88"/>
        <v>Dissatisfied</v>
      </c>
      <c r="AL938">
        <f t="shared" si="89"/>
        <v>216732</v>
      </c>
    </row>
    <row r="939" spans="1:38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84"/>
        <v>36-45</v>
      </c>
      <c r="AH939" t="str">
        <f t="shared" si="85"/>
        <v>Very High (10K+)</v>
      </c>
      <c r="AI939" t="str">
        <f t="shared" si="86"/>
        <v>10+ yrs</v>
      </c>
      <c r="AJ939" t="str">
        <f t="shared" si="87"/>
        <v>Good</v>
      </c>
      <c r="AK939" t="str">
        <f t="shared" si="88"/>
        <v>Dissatisfied</v>
      </c>
      <c r="AL939">
        <f t="shared" si="89"/>
        <v>205476</v>
      </c>
    </row>
    <row r="940" spans="1:38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84"/>
        <v>46+</v>
      </c>
      <c r="AH940" t="str">
        <f t="shared" si="85"/>
        <v>Low (0-3K)</v>
      </c>
      <c r="AI940" t="str">
        <f t="shared" si="86"/>
        <v>0-2 yrs</v>
      </c>
      <c r="AJ940" t="str">
        <f t="shared" si="87"/>
        <v>Good</v>
      </c>
      <c r="AK940" t="str">
        <f t="shared" si="88"/>
        <v>Satisfied</v>
      </c>
      <c r="AL940">
        <f t="shared" si="89"/>
        <v>28464</v>
      </c>
    </row>
    <row r="941" spans="1:38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84"/>
        <v>26-35</v>
      </c>
      <c r="AH941" t="str">
        <f t="shared" si="85"/>
        <v>Mid (3-6K)</v>
      </c>
      <c r="AI941" t="str">
        <f t="shared" si="86"/>
        <v>6-10 yrs</v>
      </c>
      <c r="AJ941" t="str">
        <f t="shared" si="87"/>
        <v>Good</v>
      </c>
      <c r="AK941" t="str">
        <f t="shared" si="88"/>
        <v>Satisfied</v>
      </c>
      <c r="AL941">
        <f t="shared" si="89"/>
        <v>58596</v>
      </c>
    </row>
    <row r="942" spans="1:38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84"/>
        <v>36-45</v>
      </c>
      <c r="AH942" t="str">
        <f t="shared" si="85"/>
        <v>Mid (3-6K)</v>
      </c>
      <c r="AI942" t="str">
        <f t="shared" si="86"/>
        <v>3-5 yrs</v>
      </c>
      <c r="AJ942" t="str">
        <f t="shared" si="87"/>
        <v>Good</v>
      </c>
      <c r="AK942" t="str">
        <f t="shared" si="88"/>
        <v>Very Dissatisfied</v>
      </c>
      <c r="AL942">
        <f t="shared" si="89"/>
        <v>46848</v>
      </c>
    </row>
    <row r="943" spans="1:38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84"/>
        <v>26-35</v>
      </c>
      <c r="AH943" t="str">
        <f t="shared" si="85"/>
        <v>Mid (3-6K)</v>
      </c>
      <c r="AI943" t="str">
        <f t="shared" si="86"/>
        <v>6-10 yrs</v>
      </c>
      <c r="AJ943" t="str">
        <f t="shared" si="87"/>
        <v>Good</v>
      </c>
      <c r="AK943" t="str">
        <f t="shared" si="88"/>
        <v>Very Satisfied</v>
      </c>
      <c r="AL943">
        <f t="shared" si="89"/>
        <v>55524</v>
      </c>
    </row>
    <row r="944" spans="1:38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84"/>
        <v>36-45</v>
      </c>
      <c r="AH944" t="str">
        <f t="shared" si="85"/>
        <v>High (6-10K)</v>
      </c>
      <c r="AI944" t="str">
        <f t="shared" si="86"/>
        <v>6-10 yrs</v>
      </c>
      <c r="AJ944" t="str">
        <f t="shared" si="87"/>
        <v>Good</v>
      </c>
      <c r="AK944" t="str">
        <f t="shared" si="88"/>
        <v>Satisfied</v>
      </c>
      <c r="AL944">
        <f t="shared" si="89"/>
        <v>85128</v>
      </c>
    </row>
    <row r="945" spans="1:38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84"/>
        <v>46+</v>
      </c>
      <c r="AH945" t="str">
        <f t="shared" si="85"/>
        <v>Mid (3-6K)</v>
      </c>
      <c r="AI945" t="str">
        <f t="shared" si="86"/>
        <v>6-10 yrs</v>
      </c>
      <c r="AJ945" t="str">
        <f t="shared" si="87"/>
        <v>Good</v>
      </c>
      <c r="AK945" t="str">
        <f t="shared" si="88"/>
        <v>Very Dissatisfied</v>
      </c>
      <c r="AL945">
        <f t="shared" si="89"/>
        <v>41076</v>
      </c>
    </row>
    <row r="946" spans="1:38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84"/>
        <v>26-35</v>
      </c>
      <c r="AH946" t="str">
        <f t="shared" si="85"/>
        <v>High (6-10K)</v>
      </c>
      <c r="AI946" t="str">
        <f t="shared" si="86"/>
        <v>6-10 yrs</v>
      </c>
      <c r="AJ946" t="str">
        <f t="shared" si="87"/>
        <v>Good</v>
      </c>
      <c r="AK946" t="str">
        <f t="shared" si="88"/>
        <v>Very Satisfied</v>
      </c>
      <c r="AL946">
        <f t="shared" si="89"/>
        <v>80088</v>
      </c>
    </row>
    <row r="947" spans="1:38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84"/>
        <v>46+</v>
      </c>
      <c r="AH947" t="str">
        <f t="shared" si="85"/>
        <v>Very High (10K+)</v>
      </c>
      <c r="AI947" t="str">
        <f t="shared" si="86"/>
        <v>3-5 yrs</v>
      </c>
      <c r="AJ947" t="str">
        <f t="shared" si="87"/>
        <v>Good</v>
      </c>
      <c r="AK947" t="str">
        <f t="shared" si="88"/>
        <v>Very Dissatisfied</v>
      </c>
      <c r="AL947">
        <f t="shared" si="89"/>
        <v>202560</v>
      </c>
    </row>
    <row r="948" spans="1:38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84"/>
        <v>36-45</v>
      </c>
      <c r="AH948" t="str">
        <f t="shared" si="85"/>
        <v>High (6-10K)</v>
      </c>
      <c r="AI948" t="str">
        <f t="shared" si="86"/>
        <v>3-5 yrs</v>
      </c>
      <c r="AJ948" t="str">
        <f t="shared" si="87"/>
        <v>Good</v>
      </c>
      <c r="AK948" t="str">
        <f t="shared" si="88"/>
        <v>Dissatisfied</v>
      </c>
      <c r="AL948">
        <f t="shared" si="89"/>
        <v>109128</v>
      </c>
    </row>
    <row r="949" spans="1:38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84"/>
        <v>46+</v>
      </c>
      <c r="AH949" t="str">
        <f t="shared" si="85"/>
        <v>High (6-10K)</v>
      </c>
      <c r="AI949" t="str">
        <f t="shared" si="86"/>
        <v>6-10 yrs</v>
      </c>
      <c r="AJ949" t="str">
        <f t="shared" si="87"/>
        <v>Good</v>
      </c>
      <c r="AK949" t="str">
        <f t="shared" si="88"/>
        <v>Dissatisfied</v>
      </c>
      <c r="AL949">
        <f t="shared" si="89"/>
        <v>101352</v>
      </c>
    </row>
    <row r="950" spans="1:38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84"/>
        <v>26-35</v>
      </c>
      <c r="AH950" t="str">
        <f t="shared" si="85"/>
        <v>Very High (10K+)</v>
      </c>
      <c r="AI950" t="str">
        <f t="shared" si="86"/>
        <v>6-10 yrs</v>
      </c>
      <c r="AJ950" t="str">
        <f t="shared" si="87"/>
        <v>Excellent</v>
      </c>
      <c r="AK950" t="str">
        <f t="shared" si="88"/>
        <v>Very Dissatisfied</v>
      </c>
      <c r="AL950">
        <f t="shared" si="89"/>
        <v>142992</v>
      </c>
    </row>
    <row r="951" spans="1:38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84"/>
        <v>36-45</v>
      </c>
      <c r="AH951" t="str">
        <f t="shared" si="85"/>
        <v>Mid (3-6K)</v>
      </c>
      <c r="AI951" t="str">
        <f t="shared" si="86"/>
        <v>6-10 yrs</v>
      </c>
      <c r="AJ951" t="str">
        <f t="shared" si="87"/>
        <v>Good</v>
      </c>
      <c r="AK951" t="str">
        <f t="shared" si="88"/>
        <v>Satisfied</v>
      </c>
      <c r="AL951">
        <f t="shared" si="89"/>
        <v>54408</v>
      </c>
    </row>
    <row r="952" spans="1:38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84"/>
        <v>26-35</v>
      </c>
      <c r="AH952" t="str">
        <f t="shared" si="85"/>
        <v>High (6-10K)</v>
      </c>
      <c r="AI952" t="str">
        <f t="shared" si="86"/>
        <v>6-10 yrs</v>
      </c>
      <c r="AJ952" t="str">
        <f t="shared" si="87"/>
        <v>Good</v>
      </c>
      <c r="AK952" t="str">
        <f t="shared" si="88"/>
        <v>Satisfied</v>
      </c>
      <c r="AL952">
        <f t="shared" si="89"/>
        <v>118224</v>
      </c>
    </row>
    <row r="953" spans="1:38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84"/>
        <v>36-45</v>
      </c>
      <c r="AH953" t="str">
        <f t="shared" si="85"/>
        <v>High (6-10K)</v>
      </c>
      <c r="AI953" t="str">
        <f t="shared" si="86"/>
        <v>10+ yrs</v>
      </c>
      <c r="AJ953" t="str">
        <f t="shared" si="87"/>
        <v>Good</v>
      </c>
      <c r="AK953" t="str">
        <f t="shared" si="88"/>
        <v>Dissatisfied</v>
      </c>
      <c r="AL953">
        <f t="shared" si="89"/>
        <v>73812</v>
      </c>
    </row>
    <row r="954" spans="1:38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84"/>
        <v>26-35</v>
      </c>
      <c r="AH954" t="str">
        <f t="shared" si="85"/>
        <v>Low (0-3K)</v>
      </c>
      <c r="AI954" t="str">
        <f t="shared" si="86"/>
        <v>3-5 yrs</v>
      </c>
      <c r="AJ954" t="str">
        <f t="shared" si="87"/>
        <v>Good</v>
      </c>
      <c r="AK954" t="str">
        <f t="shared" si="88"/>
        <v>Dissatisfied</v>
      </c>
      <c r="AL954">
        <f t="shared" si="89"/>
        <v>27624</v>
      </c>
    </row>
    <row r="955" spans="1:38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84"/>
        <v>36-45</v>
      </c>
      <c r="AH955" t="str">
        <f t="shared" si="85"/>
        <v>Low (0-3K)</v>
      </c>
      <c r="AI955" t="str">
        <f t="shared" si="86"/>
        <v>3-5 yrs</v>
      </c>
      <c r="AJ955" t="str">
        <f t="shared" si="87"/>
        <v>Good</v>
      </c>
      <c r="AK955" t="str">
        <f t="shared" si="88"/>
        <v>Very Dissatisfied</v>
      </c>
      <c r="AL955">
        <f t="shared" si="89"/>
        <v>28344</v>
      </c>
    </row>
    <row r="956" spans="1:38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84"/>
        <v>36-45</v>
      </c>
      <c r="AH956" t="str">
        <f t="shared" si="85"/>
        <v>Very High (10K+)</v>
      </c>
      <c r="AI956" t="str">
        <f t="shared" si="86"/>
        <v>10+ yrs</v>
      </c>
      <c r="AJ956" t="str">
        <f t="shared" si="87"/>
        <v>Good</v>
      </c>
      <c r="AK956" t="str">
        <f t="shared" si="88"/>
        <v>Satisfied</v>
      </c>
      <c r="AL956">
        <f t="shared" si="89"/>
        <v>214332</v>
      </c>
    </row>
    <row r="957" spans="1:38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84"/>
        <v>46+</v>
      </c>
      <c r="AH957" t="str">
        <f t="shared" si="85"/>
        <v>Very High (10K+)</v>
      </c>
      <c r="AI957" t="str">
        <f t="shared" si="86"/>
        <v>10+ yrs</v>
      </c>
      <c r="AJ957" t="str">
        <f t="shared" si="87"/>
        <v>Good</v>
      </c>
      <c r="AK957" t="str">
        <f t="shared" si="88"/>
        <v>Satisfied</v>
      </c>
      <c r="AL957">
        <f t="shared" si="89"/>
        <v>230244</v>
      </c>
    </row>
    <row r="958" spans="1:38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84"/>
        <v>46+</v>
      </c>
      <c r="AH958" t="str">
        <f t="shared" si="85"/>
        <v>Very High (10K+)</v>
      </c>
      <c r="AI958" t="str">
        <f t="shared" si="86"/>
        <v>6-10 yrs</v>
      </c>
      <c r="AJ958" t="str">
        <f t="shared" si="87"/>
        <v>Good</v>
      </c>
      <c r="AK958" t="str">
        <f t="shared" si="88"/>
        <v>Dissatisfied</v>
      </c>
      <c r="AL958">
        <f t="shared" si="89"/>
        <v>236604</v>
      </c>
    </row>
    <row r="959" spans="1:38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84"/>
        <v>36-45</v>
      </c>
      <c r="AH959" t="str">
        <f t="shared" si="85"/>
        <v>Mid (3-6K)</v>
      </c>
      <c r="AI959" t="str">
        <f t="shared" si="86"/>
        <v>3-5 yrs</v>
      </c>
      <c r="AJ959" t="str">
        <f t="shared" si="87"/>
        <v>Good</v>
      </c>
      <c r="AK959" t="str">
        <f t="shared" si="88"/>
        <v>Satisfied</v>
      </c>
      <c r="AL959">
        <f t="shared" si="89"/>
        <v>42528</v>
      </c>
    </row>
    <row r="960" spans="1:38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84"/>
        <v>26-35</v>
      </c>
      <c r="AH960" t="str">
        <f t="shared" si="85"/>
        <v>High (6-10K)</v>
      </c>
      <c r="AI960" t="str">
        <f t="shared" si="86"/>
        <v>6-10 yrs</v>
      </c>
      <c r="AJ960" t="str">
        <f t="shared" si="87"/>
        <v>Good</v>
      </c>
      <c r="AK960" t="str">
        <f t="shared" si="88"/>
        <v>Very Satisfied</v>
      </c>
      <c r="AL960">
        <f t="shared" si="89"/>
        <v>102000</v>
      </c>
    </row>
    <row r="961" spans="1:38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84"/>
        <v>36-45</v>
      </c>
      <c r="AH961" t="str">
        <f t="shared" si="85"/>
        <v>Mid (3-6K)</v>
      </c>
      <c r="AI961" t="str">
        <f t="shared" si="86"/>
        <v>6-10 yrs</v>
      </c>
      <c r="AJ961" t="str">
        <f t="shared" si="87"/>
        <v>Good</v>
      </c>
      <c r="AK961" t="str">
        <f t="shared" si="88"/>
        <v>Very Satisfied</v>
      </c>
      <c r="AL961">
        <f t="shared" si="89"/>
        <v>55932</v>
      </c>
    </row>
    <row r="962" spans="1:38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si="84"/>
        <v>36-45</v>
      </c>
      <c r="AH962" t="str">
        <f t="shared" si="85"/>
        <v>Mid (3-6K)</v>
      </c>
      <c r="AI962" t="str">
        <f t="shared" si="86"/>
        <v>6-10 yrs</v>
      </c>
      <c r="AJ962" t="str">
        <f t="shared" si="87"/>
        <v>Good</v>
      </c>
      <c r="AK962" t="str">
        <f t="shared" si="88"/>
        <v>Very Dissatisfied</v>
      </c>
      <c r="AL962">
        <f t="shared" si="89"/>
        <v>49236</v>
      </c>
    </row>
    <row r="963" spans="1:38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ref="AG963:AG1026" si="90">IF(A963&lt;=25,"20-25",IF(A963&lt;=35,"26-35",IF(A963&lt;=45,"36-45","46+")))</f>
        <v>26-35</v>
      </c>
      <c r="AH963" t="str">
        <f t="shared" ref="AH963:AH1026" si="91">IF(R963&lt;=3000,"Low (0-3K)",IF(R963&lt;=6000,"Mid (3-6K)",IF(R963&lt;=10000,"High (6-10K)","Very High (10K+)")))</f>
        <v>Mid (3-6K)</v>
      </c>
      <c r="AI963" t="str">
        <f t="shared" ref="AI963:AI1026" si="92">IF(AC963&lt;=2,"0-2 yrs",IF(AC963&lt;=5,"3-5 yrs",IF(AC963&lt;=10,"6-10 yrs","10+ yrs")))</f>
        <v>6-10 yrs</v>
      </c>
      <c r="AJ963" t="str">
        <f t="shared" ref="AJ963:AJ1026" si="93">IF(W963=4,"Excellent",IF(W963=3,"Good",IF(W963=2,"Needs Improvement","Poor")))</f>
        <v>Good</v>
      </c>
      <c r="AK963" t="str">
        <f t="shared" ref="AK963:AK1026" si="94">IF(P963=4,"Very Satisfied",IF(P963=3,"Satisfied",IF(P963=2,"Dissatisfied","Very Dissatisfied")))</f>
        <v>Satisfied</v>
      </c>
      <c r="AL963">
        <f t="shared" ref="AL963:AL1026" si="95">R963*12</f>
        <v>50988</v>
      </c>
    </row>
    <row r="964" spans="1:38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90"/>
        <v>46+</v>
      </c>
      <c r="AH964" t="str">
        <f t="shared" si="91"/>
        <v>Very High (10K+)</v>
      </c>
      <c r="AI964" t="str">
        <f t="shared" si="92"/>
        <v>10+ yrs</v>
      </c>
      <c r="AJ964" t="str">
        <f t="shared" si="93"/>
        <v>Good</v>
      </c>
      <c r="AK964" t="str">
        <f t="shared" si="94"/>
        <v>Dissatisfied</v>
      </c>
      <c r="AL964">
        <f t="shared" si="95"/>
        <v>168312</v>
      </c>
    </row>
    <row r="965" spans="1:38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90"/>
        <v>36-45</v>
      </c>
      <c r="AH965" t="str">
        <f t="shared" si="91"/>
        <v>High (6-10K)</v>
      </c>
      <c r="AI965" t="str">
        <f t="shared" si="92"/>
        <v>6-10 yrs</v>
      </c>
      <c r="AJ965" t="str">
        <f t="shared" si="93"/>
        <v>Good</v>
      </c>
      <c r="AK965" t="str">
        <f t="shared" si="94"/>
        <v>Very Dissatisfied</v>
      </c>
      <c r="AL965">
        <f t="shared" si="95"/>
        <v>82716</v>
      </c>
    </row>
    <row r="966" spans="1:38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90"/>
        <v>26-35</v>
      </c>
      <c r="AH966" t="str">
        <f t="shared" si="91"/>
        <v>High (6-10K)</v>
      </c>
      <c r="AI966" t="str">
        <f t="shared" si="92"/>
        <v>6-10 yrs</v>
      </c>
      <c r="AJ966" t="str">
        <f t="shared" si="93"/>
        <v>Good</v>
      </c>
      <c r="AK966" t="str">
        <f t="shared" si="94"/>
        <v>Very Dissatisfied</v>
      </c>
      <c r="AL966">
        <f t="shared" si="95"/>
        <v>73500</v>
      </c>
    </row>
    <row r="967" spans="1:38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90"/>
        <v>20-25</v>
      </c>
      <c r="AH967" t="str">
        <f t="shared" si="91"/>
        <v>Mid (3-6K)</v>
      </c>
      <c r="AI967" t="str">
        <f t="shared" si="92"/>
        <v>3-5 yrs</v>
      </c>
      <c r="AJ967" t="str">
        <f t="shared" si="93"/>
        <v>Good</v>
      </c>
      <c r="AK967" t="str">
        <f t="shared" si="94"/>
        <v>Very Satisfied</v>
      </c>
      <c r="AL967">
        <f t="shared" si="95"/>
        <v>44028</v>
      </c>
    </row>
    <row r="968" spans="1:38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90"/>
        <v>46+</v>
      </c>
      <c r="AH968" t="str">
        <f t="shared" si="91"/>
        <v>Very High (10K+)</v>
      </c>
      <c r="AI968" t="str">
        <f t="shared" si="92"/>
        <v>6-10 yrs</v>
      </c>
      <c r="AJ968" t="str">
        <f t="shared" si="93"/>
        <v>Good</v>
      </c>
      <c r="AK968" t="str">
        <f t="shared" si="94"/>
        <v>Very Dissatisfied</v>
      </c>
      <c r="AL968">
        <f t="shared" si="95"/>
        <v>120096</v>
      </c>
    </row>
    <row r="969" spans="1:38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90"/>
        <v>36-45</v>
      </c>
      <c r="AH969" t="str">
        <f t="shared" si="91"/>
        <v>Low (0-3K)</v>
      </c>
      <c r="AI969" t="str">
        <f t="shared" si="92"/>
        <v>3-5 yrs</v>
      </c>
      <c r="AJ969" t="str">
        <f t="shared" si="93"/>
        <v>Excellent</v>
      </c>
      <c r="AK969" t="str">
        <f t="shared" si="94"/>
        <v>Dissatisfied</v>
      </c>
      <c r="AL969">
        <f t="shared" si="95"/>
        <v>28644</v>
      </c>
    </row>
    <row r="970" spans="1:38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90"/>
        <v>36-45</v>
      </c>
      <c r="AH970" t="str">
        <f t="shared" si="91"/>
        <v>Mid (3-6K)</v>
      </c>
      <c r="AI970" t="str">
        <f t="shared" si="92"/>
        <v>10+ yrs</v>
      </c>
      <c r="AJ970" t="str">
        <f t="shared" si="93"/>
        <v>Good</v>
      </c>
      <c r="AK970" t="str">
        <f t="shared" si="94"/>
        <v>Very Dissatisfied</v>
      </c>
      <c r="AL970">
        <f t="shared" si="95"/>
        <v>55668</v>
      </c>
    </row>
    <row r="971" spans="1:38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90"/>
        <v>46+</v>
      </c>
      <c r="AH971" t="str">
        <f t="shared" si="91"/>
        <v>High (6-10K)</v>
      </c>
      <c r="AI971" t="str">
        <f t="shared" si="92"/>
        <v>6-10 yrs</v>
      </c>
      <c r="AJ971" t="str">
        <f t="shared" si="93"/>
        <v>Good</v>
      </c>
      <c r="AK971" t="str">
        <f t="shared" si="94"/>
        <v>Very Satisfied</v>
      </c>
      <c r="AL971">
        <f t="shared" si="95"/>
        <v>94776</v>
      </c>
    </row>
    <row r="972" spans="1:38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90"/>
        <v>26-35</v>
      </c>
      <c r="AH972" t="str">
        <f t="shared" si="91"/>
        <v>Low (0-3K)</v>
      </c>
      <c r="AI972" t="str">
        <f t="shared" si="92"/>
        <v>0-2 yrs</v>
      </c>
      <c r="AJ972" t="str">
        <f t="shared" si="93"/>
        <v>Good</v>
      </c>
      <c r="AK972" t="str">
        <f t="shared" si="94"/>
        <v>Very Satisfied</v>
      </c>
      <c r="AL972">
        <f t="shared" si="95"/>
        <v>30408</v>
      </c>
    </row>
    <row r="973" spans="1:38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90"/>
        <v>46+</v>
      </c>
      <c r="AH973" t="str">
        <f t="shared" si="91"/>
        <v>Very High (10K+)</v>
      </c>
      <c r="AI973" t="str">
        <f t="shared" si="92"/>
        <v>3-5 yrs</v>
      </c>
      <c r="AJ973" t="str">
        <f t="shared" si="93"/>
        <v>Good</v>
      </c>
      <c r="AK973" t="str">
        <f t="shared" si="94"/>
        <v>Dissatisfied</v>
      </c>
      <c r="AL973">
        <f t="shared" si="95"/>
        <v>157704</v>
      </c>
    </row>
    <row r="974" spans="1:38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90"/>
        <v>20-25</v>
      </c>
      <c r="AH974" t="str">
        <f t="shared" si="91"/>
        <v>Low (0-3K)</v>
      </c>
      <c r="AI974" t="str">
        <f t="shared" si="92"/>
        <v>0-2 yrs</v>
      </c>
      <c r="AJ974" t="str">
        <f t="shared" si="93"/>
        <v>Good</v>
      </c>
      <c r="AK974" t="str">
        <f t="shared" si="94"/>
        <v>Very Satisfied</v>
      </c>
      <c r="AL974">
        <f t="shared" si="95"/>
        <v>19332</v>
      </c>
    </row>
    <row r="975" spans="1:38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90"/>
        <v>26-35</v>
      </c>
      <c r="AH975" t="str">
        <f t="shared" si="91"/>
        <v>Mid (3-6K)</v>
      </c>
      <c r="AI975" t="str">
        <f t="shared" si="92"/>
        <v>6-10 yrs</v>
      </c>
      <c r="AJ975" t="str">
        <f t="shared" si="93"/>
        <v>Good</v>
      </c>
      <c r="AK975" t="str">
        <f t="shared" si="94"/>
        <v>Very Satisfied</v>
      </c>
      <c r="AL975">
        <f t="shared" si="95"/>
        <v>64356</v>
      </c>
    </row>
    <row r="976" spans="1:38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90"/>
        <v>26-35</v>
      </c>
      <c r="AH976" t="str">
        <f t="shared" si="91"/>
        <v>Mid (3-6K)</v>
      </c>
      <c r="AI976" t="str">
        <f t="shared" si="92"/>
        <v>6-10 yrs</v>
      </c>
      <c r="AJ976" t="str">
        <f t="shared" si="93"/>
        <v>Excellent</v>
      </c>
      <c r="AK976" t="str">
        <f t="shared" si="94"/>
        <v>Very Satisfied</v>
      </c>
      <c r="AL976">
        <f t="shared" si="95"/>
        <v>60852</v>
      </c>
    </row>
    <row r="977" spans="1:38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90"/>
        <v>46+</v>
      </c>
      <c r="AH977" t="str">
        <f t="shared" si="91"/>
        <v>Very High (10K+)</v>
      </c>
      <c r="AI977" t="str">
        <f t="shared" si="92"/>
        <v>10+ yrs</v>
      </c>
      <c r="AJ977" t="str">
        <f t="shared" si="93"/>
        <v>Good</v>
      </c>
      <c r="AK977" t="str">
        <f t="shared" si="94"/>
        <v>Satisfied</v>
      </c>
      <c r="AL977">
        <f t="shared" si="95"/>
        <v>164340</v>
      </c>
    </row>
    <row r="978" spans="1:38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90"/>
        <v>46+</v>
      </c>
      <c r="AH978" t="str">
        <f t="shared" si="91"/>
        <v>Very High (10K+)</v>
      </c>
      <c r="AI978" t="str">
        <f t="shared" si="92"/>
        <v>10+ yrs</v>
      </c>
      <c r="AJ978" t="str">
        <f t="shared" si="93"/>
        <v>Good</v>
      </c>
      <c r="AK978" t="str">
        <f t="shared" si="94"/>
        <v>Dissatisfied</v>
      </c>
      <c r="AL978">
        <f t="shared" si="95"/>
        <v>160824</v>
      </c>
    </row>
    <row r="979" spans="1:38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90"/>
        <v>26-35</v>
      </c>
      <c r="AH979" t="str">
        <f t="shared" si="91"/>
        <v>Low (0-3K)</v>
      </c>
      <c r="AI979" t="str">
        <f t="shared" si="92"/>
        <v>3-5 yrs</v>
      </c>
      <c r="AJ979" t="str">
        <f t="shared" si="93"/>
        <v>Excellent</v>
      </c>
      <c r="AK979" t="str">
        <f t="shared" si="94"/>
        <v>Satisfied</v>
      </c>
      <c r="AL979">
        <f t="shared" si="95"/>
        <v>24348</v>
      </c>
    </row>
    <row r="980" spans="1:38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90"/>
        <v>36-45</v>
      </c>
      <c r="AH980" t="str">
        <f t="shared" si="91"/>
        <v>High (6-10K)</v>
      </c>
      <c r="AI980" t="str">
        <f t="shared" si="92"/>
        <v>10+ yrs</v>
      </c>
      <c r="AJ980" t="str">
        <f t="shared" si="93"/>
        <v>Excellent</v>
      </c>
      <c r="AK980" t="str">
        <f t="shared" si="94"/>
        <v>Satisfied</v>
      </c>
      <c r="AL980">
        <f t="shared" si="95"/>
        <v>76524</v>
      </c>
    </row>
    <row r="981" spans="1:38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90"/>
        <v>26-35</v>
      </c>
      <c r="AH981" t="str">
        <f t="shared" si="91"/>
        <v>Mid (3-6K)</v>
      </c>
      <c r="AI981" t="str">
        <f t="shared" si="92"/>
        <v>6-10 yrs</v>
      </c>
      <c r="AJ981" t="str">
        <f t="shared" si="93"/>
        <v>Good</v>
      </c>
      <c r="AK981" t="str">
        <f t="shared" si="94"/>
        <v>Satisfied</v>
      </c>
      <c r="AL981">
        <f t="shared" si="95"/>
        <v>65148</v>
      </c>
    </row>
    <row r="982" spans="1:38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90"/>
        <v>26-35</v>
      </c>
      <c r="AH982" t="str">
        <f t="shared" si="91"/>
        <v>Low (0-3K)</v>
      </c>
      <c r="AI982" t="str">
        <f t="shared" si="92"/>
        <v>0-2 yrs</v>
      </c>
      <c r="AJ982" t="str">
        <f t="shared" si="93"/>
        <v>Good</v>
      </c>
      <c r="AK982" t="str">
        <f t="shared" si="94"/>
        <v>Very Satisfied</v>
      </c>
      <c r="AL982">
        <f t="shared" si="95"/>
        <v>33420</v>
      </c>
    </row>
    <row r="983" spans="1:38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90"/>
        <v>26-35</v>
      </c>
      <c r="AH983" t="str">
        <f t="shared" si="91"/>
        <v>Mid (3-6K)</v>
      </c>
      <c r="AI983" t="str">
        <f t="shared" si="92"/>
        <v>3-5 yrs</v>
      </c>
      <c r="AJ983" t="str">
        <f t="shared" si="93"/>
        <v>Good</v>
      </c>
      <c r="AK983" t="str">
        <f t="shared" si="94"/>
        <v>Satisfied</v>
      </c>
      <c r="AL983">
        <f t="shared" si="95"/>
        <v>55368</v>
      </c>
    </row>
    <row r="984" spans="1:38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90"/>
        <v>36-45</v>
      </c>
      <c r="AH984" t="str">
        <f t="shared" si="91"/>
        <v>Low (0-3K)</v>
      </c>
      <c r="AI984" t="str">
        <f t="shared" si="92"/>
        <v>3-5 yrs</v>
      </c>
      <c r="AJ984" t="str">
        <f t="shared" si="93"/>
        <v>Good</v>
      </c>
      <c r="AK984" t="str">
        <f t="shared" si="94"/>
        <v>Satisfied</v>
      </c>
      <c r="AL984">
        <f t="shared" si="95"/>
        <v>31320</v>
      </c>
    </row>
    <row r="985" spans="1:38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90"/>
        <v>26-35</v>
      </c>
      <c r="AH985" t="str">
        <f t="shared" si="91"/>
        <v>High (6-10K)</v>
      </c>
      <c r="AI985" t="str">
        <f t="shared" si="92"/>
        <v>10+ yrs</v>
      </c>
      <c r="AJ985" t="str">
        <f t="shared" si="93"/>
        <v>Good</v>
      </c>
      <c r="AK985" t="str">
        <f t="shared" si="94"/>
        <v>Very Satisfied</v>
      </c>
      <c r="AL985">
        <f t="shared" si="95"/>
        <v>80244</v>
      </c>
    </row>
    <row r="986" spans="1:38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90"/>
        <v>26-35</v>
      </c>
      <c r="AH986" t="str">
        <f t="shared" si="91"/>
        <v>Mid (3-6K)</v>
      </c>
      <c r="AI986" t="str">
        <f t="shared" si="92"/>
        <v>3-5 yrs</v>
      </c>
      <c r="AJ986" t="str">
        <f t="shared" si="93"/>
        <v>Good</v>
      </c>
      <c r="AK986" t="str">
        <f t="shared" si="94"/>
        <v>Very Dissatisfied</v>
      </c>
      <c r="AL986">
        <f t="shared" si="95"/>
        <v>56688</v>
      </c>
    </row>
    <row r="987" spans="1:38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90"/>
        <v>26-35</v>
      </c>
      <c r="AH987" t="str">
        <f t="shared" si="91"/>
        <v>High (6-10K)</v>
      </c>
      <c r="AI987" t="str">
        <f t="shared" si="92"/>
        <v>6-10 yrs</v>
      </c>
      <c r="AJ987" t="str">
        <f t="shared" si="93"/>
        <v>Good</v>
      </c>
      <c r="AK987" t="str">
        <f t="shared" si="94"/>
        <v>Satisfied</v>
      </c>
      <c r="AL987">
        <f t="shared" si="95"/>
        <v>74148</v>
      </c>
    </row>
    <row r="988" spans="1:38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90"/>
        <v>36-45</v>
      </c>
      <c r="AH988" t="str">
        <f t="shared" si="91"/>
        <v>High (6-10K)</v>
      </c>
      <c r="AI988" t="str">
        <f t="shared" si="92"/>
        <v>3-5 yrs</v>
      </c>
      <c r="AJ988" t="str">
        <f t="shared" si="93"/>
        <v>Good</v>
      </c>
      <c r="AK988" t="str">
        <f t="shared" si="94"/>
        <v>Very Satisfied</v>
      </c>
      <c r="AL988">
        <f t="shared" si="95"/>
        <v>73440</v>
      </c>
    </row>
    <row r="989" spans="1:38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90"/>
        <v>46+</v>
      </c>
      <c r="AH989" t="str">
        <f t="shared" si="91"/>
        <v>Very High (10K+)</v>
      </c>
      <c r="AI989" t="str">
        <f t="shared" si="92"/>
        <v>3-5 yrs</v>
      </c>
      <c r="AJ989" t="str">
        <f t="shared" si="93"/>
        <v>Good</v>
      </c>
      <c r="AK989" t="str">
        <f t="shared" si="94"/>
        <v>Dissatisfied</v>
      </c>
      <c r="AL989">
        <f t="shared" si="95"/>
        <v>127152</v>
      </c>
    </row>
    <row r="990" spans="1:38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90"/>
        <v>36-45</v>
      </c>
      <c r="AH990" t="str">
        <f t="shared" si="91"/>
        <v>Mid (3-6K)</v>
      </c>
      <c r="AI990" t="str">
        <f t="shared" si="92"/>
        <v>6-10 yrs</v>
      </c>
      <c r="AJ990" t="str">
        <f t="shared" si="93"/>
        <v>Good</v>
      </c>
      <c r="AK990" t="str">
        <f t="shared" si="94"/>
        <v>Very Satisfied</v>
      </c>
      <c r="AL990">
        <f t="shared" si="95"/>
        <v>65604</v>
      </c>
    </row>
    <row r="991" spans="1:38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90"/>
        <v>36-45</v>
      </c>
      <c r="AH991" t="str">
        <f t="shared" si="91"/>
        <v>Low (0-3K)</v>
      </c>
      <c r="AI991" t="str">
        <f t="shared" si="92"/>
        <v>6-10 yrs</v>
      </c>
      <c r="AJ991" t="str">
        <f t="shared" si="93"/>
        <v>Good</v>
      </c>
      <c r="AK991" t="str">
        <f t="shared" si="94"/>
        <v>Satisfied</v>
      </c>
      <c r="AL991">
        <f t="shared" si="95"/>
        <v>35952</v>
      </c>
    </row>
    <row r="992" spans="1:38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90"/>
        <v>26-35</v>
      </c>
      <c r="AH992" t="str">
        <f t="shared" si="91"/>
        <v>High (6-10K)</v>
      </c>
      <c r="AI992" t="str">
        <f t="shared" si="92"/>
        <v>3-5 yrs</v>
      </c>
      <c r="AJ992" t="str">
        <f t="shared" si="93"/>
        <v>Good</v>
      </c>
      <c r="AK992" t="str">
        <f t="shared" si="94"/>
        <v>Very Satisfied</v>
      </c>
      <c r="AL992">
        <f t="shared" si="95"/>
        <v>119976</v>
      </c>
    </row>
    <row r="993" spans="1:38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90"/>
        <v>26-35</v>
      </c>
      <c r="AH993" t="str">
        <f t="shared" si="91"/>
        <v>Mid (3-6K)</v>
      </c>
      <c r="AI993" t="str">
        <f t="shared" si="92"/>
        <v>3-5 yrs</v>
      </c>
      <c r="AJ993" t="str">
        <f t="shared" si="93"/>
        <v>Good</v>
      </c>
      <c r="AK993" t="str">
        <f t="shared" si="94"/>
        <v>Dissatisfied</v>
      </c>
      <c r="AL993">
        <f t="shared" si="95"/>
        <v>48936</v>
      </c>
    </row>
    <row r="994" spans="1:38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90"/>
        <v>36-45</v>
      </c>
      <c r="AH994" t="str">
        <f t="shared" si="91"/>
        <v>Very High (10K+)</v>
      </c>
      <c r="AI994" t="str">
        <f t="shared" si="92"/>
        <v>6-10 yrs</v>
      </c>
      <c r="AJ994" t="str">
        <f t="shared" si="93"/>
        <v>Excellent</v>
      </c>
      <c r="AK994" t="str">
        <f t="shared" si="94"/>
        <v>Satisfied</v>
      </c>
      <c r="AL994">
        <f t="shared" si="95"/>
        <v>131040</v>
      </c>
    </row>
    <row r="995" spans="1:38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90"/>
        <v>20-25</v>
      </c>
      <c r="AH995" t="str">
        <f t="shared" si="91"/>
        <v>High (6-10K)</v>
      </c>
      <c r="AI995" t="str">
        <f t="shared" si="92"/>
        <v>3-5 yrs</v>
      </c>
      <c r="AJ995" t="str">
        <f t="shared" si="93"/>
        <v>Good</v>
      </c>
      <c r="AK995" t="str">
        <f t="shared" si="94"/>
        <v>Satisfied</v>
      </c>
      <c r="AL995">
        <f t="shared" si="95"/>
        <v>74784</v>
      </c>
    </row>
    <row r="996" spans="1:38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90"/>
        <v>46+</v>
      </c>
      <c r="AH996" t="str">
        <f t="shared" si="91"/>
        <v>Very High (10K+)</v>
      </c>
      <c r="AI996" t="str">
        <f t="shared" si="92"/>
        <v>3-5 yrs</v>
      </c>
      <c r="AJ996" t="str">
        <f t="shared" si="93"/>
        <v>Good</v>
      </c>
      <c r="AK996" t="str">
        <f t="shared" si="94"/>
        <v>Satisfied</v>
      </c>
      <c r="AL996">
        <f t="shared" si="95"/>
        <v>158964</v>
      </c>
    </row>
    <row r="997" spans="1:38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90"/>
        <v>36-45</v>
      </c>
      <c r="AH997" t="str">
        <f t="shared" si="91"/>
        <v>Mid (3-6K)</v>
      </c>
      <c r="AI997" t="str">
        <f t="shared" si="92"/>
        <v>10+ yrs</v>
      </c>
      <c r="AJ997" t="str">
        <f t="shared" si="93"/>
        <v>Good</v>
      </c>
      <c r="AK997" t="str">
        <f t="shared" si="94"/>
        <v>Satisfied</v>
      </c>
      <c r="AL997">
        <f t="shared" si="95"/>
        <v>48972</v>
      </c>
    </row>
    <row r="998" spans="1:38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90"/>
        <v>26-35</v>
      </c>
      <c r="AH998" t="str">
        <f t="shared" si="91"/>
        <v>Mid (3-6K)</v>
      </c>
      <c r="AI998" t="str">
        <f t="shared" si="92"/>
        <v>6-10 yrs</v>
      </c>
      <c r="AJ998" t="str">
        <f t="shared" si="93"/>
        <v>Good</v>
      </c>
      <c r="AK998" t="str">
        <f t="shared" si="94"/>
        <v>Very Satisfied</v>
      </c>
      <c r="AL998">
        <f t="shared" si="95"/>
        <v>69228</v>
      </c>
    </row>
    <row r="999" spans="1:38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90"/>
        <v>26-35</v>
      </c>
      <c r="AH999" t="str">
        <f t="shared" si="91"/>
        <v>Low (0-3K)</v>
      </c>
      <c r="AI999" t="str">
        <f t="shared" si="92"/>
        <v>6-10 yrs</v>
      </c>
      <c r="AJ999" t="str">
        <f t="shared" si="93"/>
        <v>Good</v>
      </c>
      <c r="AK999" t="str">
        <f t="shared" si="94"/>
        <v>Satisfied</v>
      </c>
      <c r="AL999">
        <f t="shared" si="95"/>
        <v>28728</v>
      </c>
    </row>
    <row r="1000" spans="1:38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90"/>
        <v>26-35</v>
      </c>
      <c r="AH1000" t="str">
        <f t="shared" si="91"/>
        <v>Mid (3-6K)</v>
      </c>
      <c r="AI1000" t="str">
        <f t="shared" si="92"/>
        <v>3-5 yrs</v>
      </c>
      <c r="AJ1000" t="str">
        <f t="shared" si="93"/>
        <v>Good</v>
      </c>
      <c r="AK1000" t="str">
        <f t="shared" si="94"/>
        <v>Very Satisfied</v>
      </c>
      <c r="AL1000">
        <f t="shared" si="95"/>
        <v>46848</v>
      </c>
    </row>
    <row r="1001" spans="1:38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90"/>
        <v>36-45</v>
      </c>
      <c r="AH1001" t="str">
        <f t="shared" si="91"/>
        <v>Very High (10K+)</v>
      </c>
      <c r="AI1001" t="str">
        <f t="shared" si="92"/>
        <v>10+ yrs</v>
      </c>
      <c r="AJ1001" t="str">
        <f t="shared" si="93"/>
        <v>Good</v>
      </c>
      <c r="AK1001" t="str">
        <f t="shared" si="94"/>
        <v>Very Dissatisfied</v>
      </c>
      <c r="AL1001">
        <f t="shared" si="95"/>
        <v>201588</v>
      </c>
    </row>
    <row r="1002" spans="1:38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90"/>
        <v>46+</v>
      </c>
      <c r="AH1002" t="str">
        <f t="shared" si="91"/>
        <v>Low (0-3K)</v>
      </c>
      <c r="AI1002" t="str">
        <f t="shared" si="92"/>
        <v>3-5 yrs</v>
      </c>
      <c r="AJ1002" t="str">
        <f t="shared" si="93"/>
        <v>Good</v>
      </c>
      <c r="AK1002" t="str">
        <f t="shared" si="94"/>
        <v>Very Dissatisfied</v>
      </c>
      <c r="AL1002">
        <f t="shared" si="95"/>
        <v>35400</v>
      </c>
    </row>
    <row r="1003" spans="1:38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90"/>
        <v>36-45</v>
      </c>
      <c r="AH1003" t="str">
        <f t="shared" si="91"/>
        <v>Mid (3-6K)</v>
      </c>
      <c r="AI1003" t="str">
        <f t="shared" si="92"/>
        <v>3-5 yrs</v>
      </c>
      <c r="AJ1003" t="str">
        <f t="shared" si="93"/>
        <v>Good</v>
      </c>
      <c r="AK1003" t="str">
        <f t="shared" si="94"/>
        <v>Satisfied</v>
      </c>
      <c r="AL1003">
        <f t="shared" si="95"/>
        <v>43548</v>
      </c>
    </row>
    <row r="1004" spans="1:38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90"/>
        <v>26-35</v>
      </c>
      <c r="AH1004" t="str">
        <f t="shared" si="91"/>
        <v>High (6-10K)</v>
      </c>
      <c r="AI1004" t="str">
        <f t="shared" si="92"/>
        <v>0-2 yrs</v>
      </c>
      <c r="AJ1004" t="str">
        <f t="shared" si="93"/>
        <v>Good</v>
      </c>
      <c r="AK1004" t="str">
        <f t="shared" si="94"/>
        <v>Very Satisfied</v>
      </c>
      <c r="AL1004">
        <f t="shared" si="95"/>
        <v>112344</v>
      </c>
    </row>
    <row r="1005" spans="1:38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90"/>
        <v>20-25</v>
      </c>
      <c r="AH1005" t="str">
        <f t="shared" si="91"/>
        <v>Mid (3-6K)</v>
      </c>
      <c r="AI1005" t="str">
        <f t="shared" si="92"/>
        <v>3-5 yrs</v>
      </c>
      <c r="AJ1005" t="str">
        <f t="shared" si="93"/>
        <v>Good</v>
      </c>
      <c r="AK1005" t="str">
        <f t="shared" si="94"/>
        <v>Very Satisfied</v>
      </c>
      <c r="AL1005">
        <f t="shared" si="95"/>
        <v>38748</v>
      </c>
    </row>
    <row r="1006" spans="1:38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90"/>
        <v>26-35</v>
      </c>
      <c r="AH1006" t="str">
        <f t="shared" si="91"/>
        <v>Mid (3-6K)</v>
      </c>
      <c r="AI1006" t="str">
        <f t="shared" si="92"/>
        <v>6-10 yrs</v>
      </c>
      <c r="AJ1006" t="str">
        <f t="shared" si="93"/>
        <v>Good</v>
      </c>
      <c r="AK1006" t="str">
        <f t="shared" si="94"/>
        <v>Very Dissatisfied</v>
      </c>
      <c r="AL1006">
        <f t="shared" si="95"/>
        <v>42936</v>
      </c>
    </row>
    <row r="1007" spans="1:38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90"/>
        <v>26-35</v>
      </c>
      <c r="AH1007" t="str">
        <f t="shared" si="91"/>
        <v>High (6-10K)</v>
      </c>
      <c r="AI1007" t="str">
        <f t="shared" si="92"/>
        <v>6-10 yrs</v>
      </c>
      <c r="AJ1007" t="str">
        <f t="shared" si="93"/>
        <v>Good</v>
      </c>
      <c r="AK1007" t="str">
        <f t="shared" si="94"/>
        <v>Very Dissatisfied</v>
      </c>
      <c r="AL1007">
        <f t="shared" si="95"/>
        <v>95856</v>
      </c>
    </row>
    <row r="1008" spans="1:38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90"/>
        <v>46+</v>
      </c>
      <c r="AH1008" t="str">
        <f t="shared" si="91"/>
        <v>Mid (3-6K)</v>
      </c>
      <c r="AI1008" t="str">
        <f t="shared" si="92"/>
        <v>3-5 yrs</v>
      </c>
      <c r="AJ1008" t="str">
        <f t="shared" si="93"/>
        <v>Excellent</v>
      </c>
      <c r="AK1008" t="str">
        <f t="shared" si="94"/>
        <v>Very Dissatisfied</v>
      </c>
      <c r="AL1008">
        <f t="shared" si="95"/>
        <v>51408</v>
      </c>
    </row>
    <row r="1009" spans="1:38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90"/>
        <v>26-35</v>
      </c>
      <c r="AH1009" t="str">
        <f t="shared" si="91"/>
        <v>High (6-10K)</v>
      </c>
      <c r="AI1009" t="str">
        <f t="shared" si="92"/>
        <v>6-10 yrs</v>
      </c>
      <c r="AJ1009" t="str">
        <f t="shared" si="93"/>
        <v>Good</v>
      </c>
      <c r="AK1009" t="str">
        <f t="shared" si="94"/>
        <v>Very Satisfied</v>
      </c>
      <c r="AL1009">
        <f t="shared" si="95"/>
        <v>90636</v>
      </c>
    </row>
    <row r="1010" spans="1:38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90"/>
        <v>46+</v>
      </c>
      <c r="AH1010" t="str">
        <f t="shared" si="91"/>
        <v>Very High (10K+)</v>
      </c>
      <c r="AI1010" t="str">
        <f t="shared" si="92"/>
        <v>10+ yrs</v>
      </c>
      <c r="AJ1010" t="str">
        <f t="shared" si="93"/>
        <v>Good</v>
      </c>
      <c r="AK1010" t="str">
        <f t="shared" si="94"/>
        <v>Very Satisfied</v>
      </c>
      <c r="AL1010">
        <f t="shared" si="95"/>
        <v>207936</v>
      </c>
    </row>
    <row r="1011" spans="1:38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90"/>
        <v>46+</v>
      </c>
      <c r="AH1011" t="str">
        <f t="shared" si="91"/>
        <v>Very High (10K+)</v>
      </c>
      <c r="AI1011" t="str">
        <f t="shared" si="92"/>
        <v>6-10 yrs</v>
      </c>
      <c r="AJ1011" t="str">
        <f t="shared" si="93"/>
        <v>Excellent</v>
      </c>
      <c r="AK1011" t="str">
        <f t="shared" si="94"/>
        <v>Very Dissatisfied</v>
      </c>
      <c r="AL1011">
        <f t="shared" si="95"/>
        <v>236412</v>
      </c>
    </row>
    <row r="1012" spans="1:38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90"/>
        <v>46+</v>
      </c>
      <c r="AH1012" t="str">
        <f t="shared" si="91"/>
        <v>Very High (10K+)</v>
      </c>
      <c r="AI1012" t="str">
        <f t="shared" si="92"/>
        <v>6-10 yrs</v>
      </c>
      <c r="AJ1012" t="str">
        <f t="shared" si="93"/>
        <v>Good</v>
      </c>
      <c r="AK1012" t="str">
        <f t="shared" si="94"/>
        <v>Very Satisfied</v>
      </c>
      <c r="AL1012">
        <f t="shared" si="95"/>
        <v>176784</v>
      </c>
    </row>
    <row r="1013" spans="1:38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90"/>
        <v>36-45</v>
      </c>
      <c r="AH1013" t="str">
        <f t="shared" si="91"/>
        <v>High (6-10K)</v>
      </c>
      <c r="AI1013" t="str">
        <f t="shared" si="92"/>
        <v>3-5 yrs</v>
      </c>
      <c r="AJ1013" t="str">
        <f t="shared" si="93"/>
        <v>Good</v>
      </c>
      <c r="AK1013" t="str">
        <f t="shared" si="94"/>
        <v>Dissatisfied</v>
      </c>
      <c r="AL1013">
        <f t="shared" si="95"/>
        <v>111336</v>
      </c>
    </row>
    <row r="1014" spans="1:38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90"/>
        <v>26-35</v>
      </c>
      <c r="AH1014" t="str">
        <f t="shared" si="91"/>
        <v>Low (0-3K)</v>
      </c>
      <c r="AI1014" t="str">
        <f t="shared" si="92"/>
        <v>0-2 yrs</v>
      </c>
      <c r="AJ1014" t="str">
        <f t="shared" si="93"/>
        <v>Good</v>
      </c>
      <c r="AK1014" t="str">
        <f t="shared" si="94"/>
        <v>Satisfied</v>
      </c>
      <c r="AL1014">
        <f t="shared" si="95"/>
        <v>16308</v>
      </c>
    </row>
    <row r="1015" spans="1:38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90"/>
        <v>26-35</v>
      </c>
      <c r="AH1015" t="str">
        <f t="shared" si="91"/>
        <v>Mid (3-6K)</v>
      </c>
      <c r="AI1015" t="str">
        <f t="shared" si="92"/>
        <v>3-5 yrs</v>
      </c>
      <c r="AJ1015" t="str">
        <f t="shared" si="93"/>
        <v>Good</v>
      </c>
      <c r="AK1015" t="str">
        <f t="shared" si="94"/>
        <v>Very Dissatisfied</v>
      </c>
      <c r="AL1015">
        <f t="shared" si="95"/>
        <v>57348</v>
      </c>
    </row>
    <row r="1016" spans="1:38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90"/>
        <v>26-35</v>
      </c>
      <c r="AH1016" t="str">
        <f t="shared" si="91"/>
        <v>Very High (10K+)</v>
      </c>
      <c r="AI1016" t="str">
        <f t="shared" si="92"/>
        <v>3-5 yrs</v>
      </c>
      <c r="AJ1016" t="str">
        <f t="shared" si="93"/>
        <v>Good</v>
      </c>
      <c r="AK1016" t="str">
        <f t="shared" si="94"/>
        <v>Dissatisfied</v>
      </c>
      <c r="AL1016">
        <f t="shared" si="95"/>
        <v>197064</v>
      </c>
    </row>
    <row r="1017" spans="1:38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90"/>
        <v>26-35</v>
      </c>
      <c r="AH1017" t="str">
        <f t="shared" si="91"/>
        <v>Low (0-3K)</v>
      </c>
      <c r="AI1017" t="str">
        <f t="shared" si="92"/>
        <v>3-5 yrs</v>
      </c>
      <c r="AJ1017" t="str">
        <f t="shared" si="93"/>
        <v>Good</v>
      </c>
      <c r="AK1017" t="str">
        <f t="shared" si="94"/>
        <v>Very Dissatisfied</v>
      </c>
      <c r="AL1017">
        <f t="shared" si="95"/>
        <v>35952</v>
      </c>
    </row>
    <row r="1018" spans="1:38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90"/>
        <v>26-35</v>
      </c>
      <c r="AH1018" t="str">
        <f t="shared" si="91"/>
        <v>Low (0-3K)</v>
      </c>
      <c r="AI1018" t="str">
        <f t="shared" si="92"/>
        <v>0-2 yrs</v>
      </c>
      <c r="AJ1018" t="str">
        <f t="shared" si="93"/>
        <v>Good</v>
      </c>
      <c r="AK1018" t="str">
        <f t="shared" si="94"/>
        <v>Dissatisfied</v>
      </c>
      <c r="AL1018">
        <f t="shared" si="95"/>
        <v>15132</v>
      </c>
    </row>
    <row r="1019" spans="1:38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90"/>
        <v>26-35</v>
      </c>
      <c r="AH1019" t="str">
        <f t="shared" si="91"/>
        <v>Low (0-3K)</v>
      </c>
      <c r="AI1019" t="str">
        <f t="shared" si="92"/>
        <v>3-5 yrs</v>
      </c>
      <c r="AJ1019" t="str">
        <f t="shared" si="93"/>
        <v>Good</v>
      </c>
      <c r="AK1019" t="str">
        <f t="shared" si="94"/>
        <v>Very Dissatisfied</v>
      </c>
      <c r="AL1019">
        <f t="shared" si="95"/>
        <v>25188</v>
      </c>
    </row>
    <row r="1020" spans="1:38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90"/>
        <v>36-45</v>
      </c>
      <c r="AH1020" t="str">
        <f t="shared" si="91"/>
        <v>Mid (3-6K)</v>
      </c>
      <c r="AI1020" t="str">
        <f t="shared" si="92"/>
        <v>6-10 yrs</v>
      </c>
      <c r="AJ1020" t="str">
        <f t="shared" si="93"/>
        <v>Good</v>
      </c>
      <c r="AK1020" t="str">
        <f t="shared" si="94"/>
        <v>Very Satisfied</v>
      </c>
      <c r="AL1020">
        <f t="shared" si="95"/>
        <v>69720</v>
      </c>
    </row>
    <row r="1021" spans="1:38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90"/>
        <v>36-45</v>
      </c>
      <c r="AH1021" t="str">
        <f t="shared" si="91"/>
        <v>Mid (3-6K)</v>
      </c>
      <c r="AI1021" t="str">
        <f t="shared" si="92"/>
        <v>3-5 yrs</v>
      </c>
      <c r="AJ1021" t="str">
        <f t="shared" si="93"/>
        <v>Good</v>
      </c>
      <c r="AK1021" t="str">
        <f t="shared" si="94"/>
        <v>Very Dissatisfied</v>
      </c>
      <c r="AL1021">
        <f t="shared" si="95"/>
        <v>67764</v>
      </c>
    </row>
    <row r="1022" spans="1:38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90"/>
        <v>46+</v>
      </c>
      <c r="AH1022" t="str">
        <f t="shared" si="91"/>
        <v>Mid (3-6K)</v>
      </c>
      <c r="AI1022" t="str">
        <f t="shared" si="92"/>
        <v>6-10 yrs</v>
      </c>
      <c r="AJ1022" t="str">
        <f t="shared" si="93"/>
        <v>Good</v>
      </c>
      <c r="AK1022" t="str">
        <f t="shared" si="94"/>
        <v>Very Satisfied</v>
      </c>
      <c r="AL1022">
        <f t="shared" si="95"/>
        <v>41040</v>
      </c>
    </row>
    <row r="1023" spans="1:38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90"/>
        <v>20-25</v>
      </c>
      <c r="AH1023" t="str">
        <f t="shared" si="91"/>
        <v>Mid (3-6K)</v>
      </c>
      <c r="AI1023" t="str">
        <f t="shared" si="92"/>
        <v>3-5 yrs</v>
      </c>
      <c r="AJ1023" t="str">
        <f t="shared" si="93"/>
        <v>Good</v>
      </c>
      <c r="AK1023" t="str">
        <f t="shared" si="94"/>
        <v>Very Dissatisfied</v>
      </c>
      <c r="AL1023">
        <f t="shared" si="95"/>
        <v>52800</v>
      </c>
    </row>
    <row r="1024" spans="1:38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90"/>
        <v>36-45</v>
      </c>
      <c r="AH1024" t="str">
        <f t="shared" si="91"/>
        <v>Mid (3-6K)</v>
      </c>
      <c r="AI1024" t="str">
        <f t="shared" si="92"/>
        <v>6-10 yrs</v>
      </c>
      <c r="AJ1024" t="str">
        <f t="shared" si="93"/>
        <v>Good</v>
      </c>
      <c r="AK1024" t="str">
        <f t="shared" si="94"/>
        <v>Satisfied</v>
      </c>
      <c r="AL1024">
        <f t="shared" si="95"/>
        <v>42000</v>
      </c>
    </row>
    <row r="1025" spans="1:38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90"/>
        <v>46+</v>
      </c>
      <c r="AH1025" t="str">
        <f t="shared" si="91"/>
        <v>Low (0-3K)</v>
      </c>
      <c r="AI1025" t="str">
        <f t="shared" si="92"/>
        <v>3-5 yrs</v>
      </c>
      <c r="AJ1025" t="str">
        <f t="shared" si="93"/>
        <v>Excellent</v>
      </c>
      <c r="AK1025" t="str">
        <f t="shared" si="94"/>
        <v>Very Dissatisfied</v>
      </c>
      <c r="AL1025">
        <f t="shared" si="95"/>
        <v>24792</v>
      </c>
    </row>
    <row r="1026" spans="1:38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si="90"/>
        <v>46+</v>
      </c>
      <c r="AH1026" t="str">
        <f t="shared" si="91"/>
        <v>Very High (10K+)</v>
      </c>
      <c r="AI1026" t="str">
        <f t="shared" si="92"/>
        <v>10+ yrs</v>
      </c>
      <c r="AJ1026" t="str">
        <f t="shared" si="93"/>
        <v>Good</v>
      </c>
      <c r="AK1026" t="str">
        <f t="shared" si="94"/>
        <v>Satisfied</v>
      </c>
      <c r="AL1026">
        <f t="shared" si="95"/>
        <v>206028</v>
      </c>
    </row>
    <row r="1027" spans="1:38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ref="AG1027:AG1090" si="96">IF(A1027&lt;=25,"20-25",IF(A1027&lt;=35,"26-35",IF(A1027&lt;=45,"36-45","46+")))</f>
        <v>20-25</v>
      </c>
      <c r="AH1027" t="str">
        <f t="shared" ref="AH1027:AH1090" si="97">IF(R1027&lt;=3000,"Low (0-3K)",IF(R1027&lt;=6000,"Mid (3-6K)",IF(R1027&lt;=10000,"High (6-10K)","Very High (10K+)")))</f>
        <v>Mid (3-6K)</v>
      </c>
      <c r="AI1027" t="str">
        <f t="shared" ref="AI1027:AI1090" si="98">IF(AC1027&lt;=2,"0-2 yrs",IF(AC1027&lt;=5,"3-5 yrs",IF(AC1027&lt;=10,"6-10 yrs","10+ yrs")))</f>
        <v>3-5 yrs</v>
      </c>
      <c r="AJ1027" t="str">
        <f t="shared" ref="AJ1027:AJ1090" si="99">IF(W1027=4,"Excellent",IF(W1027=3,"Good",IF(W1027=2,"Needs Improvement","Poor")))</f>
        <v>Good</v>
      </c>
      <c r="AK1027" t="str">
        <f t="shared" ref="AK1027:AK1090" si="100">IF(P1027=4,"Very Satisfied",IF(P1027=3,"Satisfied",IF(P1027=2,"Dissatisfied","Very Dissatisfied")))</f>
        <v>Satisfied</v>
      </c>
      <c r="AL1027">
        <f t="shared" ref="AL1027:AL1090" si="101">R1027*12</f>
        <v>49944</v>
      </c>
    </row>
    <row r="1028" spans="1:38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96"/>
        <v>26-35</v>
      </c>
      <c r="AH1028" t="str">
        <f t="shared" si="97"/>
        <v>High (6-10K)</v>
      </c>
      <c r="AI1028" t="str">
        <f t="shared" si="98"/>
        <v>3-5 yrs</v>
      </c>
      <c r="AJ1028" t="str">
        <f t="shared" si="99"/>
        <v>Good</v>
      </c>
      <c r="AK1028" t="str">
        <f t="shared" si="100"/>
        <v>Very Satisfied</v>
      </c>
      <c r="AL1028">
        <f t="shared" si="101"/>
        <v>110448</v>
      </c>
    </row>
    <row r="1029" spans="1:38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96"/>
        <v>26-35</v>
      </c>
      <c r="AH1029" t="str">
        <f t="shared" si="97"/>
        <v>Mid (3-6K)</v>
      </c>
      <c r="AI1029" t="str">
        <f t="shared" si="98"/>
        <v>3-5 yrs</v>
      </c>
      <c r="AJ1029" t="str">
        <f t="shared" si="99"/>
        <v>Good</v>
      </c>
      <c r="AK1029" t="str">
        <f t="shared" si="100"/>
        <v>Dissatisfied</v>
      </c>
      <c r="AL1029">
        <f t="shared" si="101"/>
        <v>39528</v>
      </c>
    </row>
    <row r="1030" spans="1:38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96"/>
        <v>36-45</v>
      </c>
      <c r="AH1030" t="str">
        <f t="shared" si="97"/>
        <v>Low (0-3K)</v>
      </c>
      <c r="AI1030" t="str">
        <f t="shared" si="98"/>
        <v>3-5 yrs</v>
      </c>
      <c r="AJ1030" t="str">
        <f t="shared" si="99"/>
        <v>Good</v>
      </c>
      <c r="AK1030" t="str">
        <f t="shared" si="100"/>
        <v>Satisfied</v>
      </c>
      <c r="AL1030">
        <f t="shared" si="101"/>
        <v>25524</v>
      </c>
    </row>
    <row r="1031" spans="1:38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96"/>
        <v>36-45</v>
      </c>
      <c r="AH1031" t="str">
        <f t="shared" si="97"/>
        <v>Mid (3-6K)</v>
      </c>
      <c r="AI1031" t="str">
        <f t="shared" si="98"/>
        <v>6-10 yrs</v>
      </c>
      <c r="AJ1031" t="str">
        <f t="shared" si="99"/>
        <v>Good</v>
      </c>
      <c r="AK1031" t="str">
        <f t="shared" si="100"/>
        <v>Satisfied</v>
      </c>
      <c r="AL1031">
        <f t="shared" si="101"/>
        <v>47700</v>
      </c>
    </row>
    <row r="1032" spans="1:38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96"/>
        <v>26-35</v>
      </c>
      <c r="AH1032" t="str">
        <f t="shared" si="97"/>
        <v>Very High (10K+)</v>
      </c>
      <c r="AI1032" t="str">
        <f t="shared" si="98"/>
        <v>10+ yrs</v>
      </c>
      <c r="AJ1032" t="str">
        <f t="shared" si="99"/>
        <v>Good</v>
      </c>
      <c r="AK1032" t="str">
        <f t="shared" si="100"/>
        <v>Very Satisfied</v>
      </c>
      <c r="AL1032">
        <f t="shared" si="101"/>
        <v>129516</v>
      </c>
    </row>
    <row r="1033" spans="1:38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96"/>
        <v>46+</v>
      </c>
      <c r="AH1033" t="str">
        <f t="shared" si="97"/>
        <v>Very High (10K+)</v>
      </c>
      <c r="AI1033" t="str">
        <f t="shared" si="98"/>
        <v>6-10 yrs</v>
      </c>
      <c r="AJ1033" t="str">
        <f t="shared" si="99"/>
        <v>Good</v>
      </c>
      <c r="AK1033" t="str">
        <f t="shared" si="100"/>
        <v>Very Satisfied</v>
      </c>
      <c r="AL1033">
        <f t="shared" si="101"/>
        <v>121152</v>
      </c>
    </row>
    <row r="1034" spans="1:38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96"/>
        <v>36-45</v>
      </c>
      <c r="AH1034" t="str">
        <f t="shared" si="97"/>
        <v>Mid (3-6K)</v>
      </c>
      <c r="AI1034" t="str">
        <f t="shared" si="98"/>
        <v>0-2 yrs</v>
      </c>
      <c r="AJ1034" t="str">
        <f t="shared" si="99"/>
        <v>Excellent</v>
      </c>
      <c r="AK1034" t="str">
        <f t="shared" si="100"/>
        <v>Very Dissatisfied</v>
      </c>
      <c r="AL1034">
        <f t="shared" si="101"/>
        <v>43752</v>
      </c>
    </row>
    <row r="1035" spans="1:38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96"/>
        <v>26-35</v>
      </c>
      <c r="AH1035" t="str">
        <f t="shared" si="97"/>
        <v>High (6-10K)</v>
      </c>
      <c r="AI1035" t="str">
        <f t="shared" si="98"/>
        <v>6-10 yrs</v>
      </c>
      <c r="AJ1035" t="str">
        <f t="shared" si="99"/>
        <v>Good</v>
      </c>
      <c r="AK1035" t="str">
        <f t="shared" si="100"/>
        <v>Dissatisfied</v>
      </c>
      <c r="AL1035">
        <f t="shared" si="101"/>
        <v>89352</v>
      </c>
    </row>
    <row r="1036" spans="1:38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96"/>
        <v>36-45</v>
      </c>
      <c r="AH1036" t="str">
        <f t="shared" si="97"/>
        <v>Very High (10K+)</v>
      </c>
      <c r="AI1036" t="str">
        <f t="shared" si="98"/>
        <v>6-10 yrs</v>
      </c>
      <c r="AJ1036" t="str">
        <f t="shared" si="99"/>
        <v>Good</v>
      </c>
      <c r="AK1036" t="str">
        <f t="shared" si="100"/>
        <v>Very Dissatisfied</v>
      </c>
      <c r="AL1036">
        <f t="shared" si="101"/>
        <v>130212</v>
      </c>
    </row>
    <row r="1037" spans="1:38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96"/>
        <v>26-35</v>
      </c>
      <c r="AH1037" t="str">
        <f t="shared" si="97"/>
        <v>Low (0-3K)</v>
      </c>
      <c r="AI1037" t="str">
        <f t="shared" si="98"/>
        <v>3-5 yrs</v>
      </c>
      <c r="AJ1037" t="str">
        <f t="shared" si="99"/>
        <v>Good</v>
      </c>
      <c r="AK1037" t="str">
        <f t="shared" si="100"/>
        <v>Dissatisfied</v>
      </c>
      <c r="AL1037">
        <f t="shared" si="101"/>
        <v>25308</v>
      </c>
    </row>
    <row r="1038" spans="1:38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96"/>
        <v>26-35</v>
      </c>
      <c r="AH1038" t="str">
        <f t="shared" si="97"/>
        <v>Mid (3-6K)</v>
      </c>
      <c r="AI1038" t="str">
        <f t="shared" si="98"/>
        <v>0-2 yrs</v>
      </c>
      <c r="AJ1038" t="str">
        <f t="shared" si="99"/>
        <v>Good</v>
      </c>
      <c r="AK1038" t="str">
        <f t="shared" si="100"/>
        <v>Very Satisfied</v>
      </c>
      <c r="AL1038">
        <f t="shared" si="101"/>
        <v>44664</v>
      </c>
    </row>
    <row r="1039" spans="1:38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96"/>
        <v>36-45</v>
      </c>
      <c r="AH1039" t="str">
        <f t="shared" si="97"/>
        <v>High (6-10K)</v>
      </c>
      <c r="AI1039" t="str">
        <f t="shared" si="98"/>
        <v>3-5 yrs</v>
      </c>
      <c r="AJ1039" t="str">
        <f t="shared" si="99"/>
        <v>Good</v>
      </c>
      <c r="AK1039" t="str">
        <f t="shared" si="100"/>
        <v>Very Satisfied</v>
      </c>
      <c r="AL1039">
        <f t="shared" si="101"/>
        <v>112560</v>
      </c>
    </row>
    <row r="1040" spans="1:38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96"/>
        <v>46+</v>
      </c>
      <c r="AH1040" t="str">
        <f t="shared" si="97"/>
        <v>Mid (3-6K)</v>
      </c>
      <c r="AI1040" t="str">
        <f t="shared" si="98"/>
        <v>0-2 yrs</v>
      </c>
      <c r="AJ1040" t="str">
        <f t="shared" si="99"/>
        <v>Good</v>
      </c>
      <c r="AK1040" t="str">
        <f t="shared" si="100"/>
        <v>Very Dissatisfied</v>
      </c>
      <c r="AL1040">
        <f t="shared" si="101"/>
        <v>65832</v>
      </c>
    </row>
    <row r="1041" spans="1:38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96"/>
        <v>26-35</v>
      </c>
      <c r="AH1041" t="str">
        <f t="shared" si="97"/>
        <v>Low (0-3K)</v>
      </c>
      <c r="AI1041" t="str">
        <f t="shared" si="98"/>
        <v>0-2 yrs</v>
      </c>
      <c r="AJ1041" t="str">
        <f t="shared" si="99"/>
        <v>Good</v>
      </c>
      <c r="AK1041" t="str">
        <f t="shared" si="100"/>
        <v>Satisfied</v>
      </c>
      <c r="AL1041">
        <f t="shared" si="101"/>
        <v>32904</v>
      </c>
    </row>
    <row r="1042" spans="1:38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96"/>
        <v>36-45</v>
      </c>
      <c r="AH1042" t="str">
        <f t="shared" si="97"/>
        <v>Very High (10K+)</v>
      </c>
      <c r="AI1042" t="str">
        <f t="shared" si="98"/>
        <v>6-10 yrs</v>
      </c>
      <c r="AJ1042" t="str">
        <f t="shared" si="99"/>
        <v>Good</v>
      </c>
      <c r="AK1042" t="str">
        <f t="shared" si="100"/>
        <v>Dissatisfied</v>
      </c>
      <c r="AL1042">
        <f t="shared" si="101"/>
        <v>165084</v>
      </c>
    </row>
    <row r="1043" spans="1:38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96"/>
        <v>26-35</v>
      </c>
      <c r="AH1043" t="str">
        <f t="shared" si="97"/>
        <v>High (6-10K)</v>
      </c>
      <c r="AI1043" t="str">
        <f t="shared" si="98"/>
        <v>3-5 yrs</v>
      </c>
      <c r="AJ1043" t="str">
        <f t="shared" si="99"/>
        <v>Good</v>
      </c>
      <c r="AK1043" t="str">
        <f t="shared" si="100"/>
        <v>Very Dissatisfied</v>
      </c>
      <c r="AL1043">
        <f t="shared" si="101"/>
        <v>101556</v>
      </c>
    </row>
    <row r="1044" spans="1:38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96"/>
        <v>36-45</v>
      </c>
      <c r="AH1044" t="str">
        <f t="shared" si="97"/>
        <v>Mid (3-6K)</v>
      </c>
      <c r="AI1044" t="str">
        <f t="shared" si="98"/>
        <v>3-5 yrs</v>
      </c>
      <c r="AJ1044" t="str">
        <f t="shared" si="99"/>
        <v>Good</v>
      </c>
      <c r="AK1044" t="str">
        <f t="shared" si="100"/>
        <v>Satisfied</v>
      </c>
      <c r="AL1044">
        <f t="shared" si="101"/>
        <v>37944</v>
      </c>
    </row>
    <row r="1045" spans="1:38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96"/>
        <v>46+</v>
      </c>
      <c r="AH1045" t="str">
        <f t="shared" si="97"/>
        <v>Very High (10K+)</v>
      </c>
      <c r="AI1045" t="str">
        <f t="shared" si="98"/>
        <v>6-10 yrs</v>
      </c>
      <c r="AJ1045" t="str">
        <f t="shared" si="99"/>
        <v>Good</v>
      </c>
      <c r="AK1045" t="str">
        <f t="shared" si="100"/>
        <v>Dissatisfied</v>
      </c>
      <c r="AL1045">
        <f t="shared" si="101"/>
        <v>199176</v>
      </c>
    </row>
    <row r="1046" spans="1:38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96"/>
        <v>46+</v>
      </c>
      <c r="AH1046" t="str">
        <f t="shared" si="97"/>
        <v>High (6-10K)</v>
      </c>
      <c r="AI1046" t="str">
        <f t="shared" si="98"/>
        <v>3-5 yrs</v>
      </c>
      <c r="AJ1046" t="str">
        <f t="shared" si="99"/>
        <v>Good</v>
      </c>
      <c r="AK1046" t="str">
        <f t="shared" si="100"/>
        <v>Satisfied</v>
      </c>
      <c r="AL1046">
        <f t="shared" si="101"/>
        <v>79812</v>
      </c>
    </row>
    <row r="1047" spans="1:38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96"/>
        <v>36-45</v>
      </c>
      <c r="AH1047" t="str">
        <f t="shared" si="97"/>
        <v>Low (0-3K)</v>
      </c>
      <c r="AI1047" t="str">
        <f t="shared" si="98"/>
        <v>3-5 yrs</v>
      </c>
      <c r="AJ1047" t="str">
        <f t="shared" si="99"/>
        <v>Good</v>
      </c>
      <c r="AK1047" t="str">
        <f t="shared" si="100"/>
        <v>Satisfied</v>
      </c>
      <c r="AL1047">
        <f t="shared" si="101"/>
        <v>28140</v>
      </c>
    </row>
    <row r="1048" spans="1:38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96"/>
        <v>36-45</v>
      </c>
      <c r="AH1048" t="str">
        <f t="shared" si="97"/>
        <v>Mid (3-6K)</v>
      </c>
      <c r="AI1048" t="str">
        <f t="shared" si="98"/>
        <v>3-5 yrs</v>
      </c>
      <c r="AJ1048" t="str">
        <f t="shared" si="99"/>
        <v>Good</v>
      </c>
      <c r="AK1048" t="str">
        <f t="shared" si="100"/>
        <v>Dissatisfied</v>
      </c>
      <c r="AL1048">
        <f t="shared" si="101"/>
        <v>41040</v>
      </c>
    </row>
    <row r="1049" spans="1:38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96"/>
        <v>26-35</v>
      </c>
      <c r="AH1049" t="str">
        <f t="shared" si="97"/>
        <v>Mid (3-6K)</v>
      </c>
      <c r="AI1049" t="str">
        <f t="shared" si="98"/>
        <v>3-5 yrs</v>
      </c>
      <c r="AJ1049" t="str">
        <f t="shared" si="99"/>
        <v>Good</v>
      </c>
      <c r="AK1049" t="str">
        <f t="shared" si="100"/>
        <v>Very Dissatisfied</v>
      </c>
      <c r="AL1049">
        <f t="shared" si="101"/>
        <v>52476</v>
      </c>
    </row>
    <row r="1050" spans="1:38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96"/>
        <v>26-35</v>
      </c>
      <c r="AH1050" t="str">
        <f t="shared" si="97"/>
        <v>Mid (3-6K)</v>
      </c>
      <c r="AI1050" t="str">
        <f t="shared" si="98"/>
        <v>10+ yrs</v>
      </c>
      <c r="AJ1050" t="str">
        <f t="shared" si="99"/>
        <v>Good</v>
      </c>
      <c r="AK1050" t="str">
        <f t="shared" si="100"/>
        <v>Very Dissatisfied</v>
      </c>
      <c r="AL1050">
        <f t="shared" si="101"/>
        <v>57108</v>
      </c>
    </row>
    <row r="1051" spans="1:38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96"/>
        <v>26-35</v>
      </c>
      <c r="AH1051" t="str">
        <f t="shared" si="97"/>
        <v>Mid (3-6K)</v>
      </c>
      <c r="AI1051" t="str">
        <f t="shared" si="98"/>
        <v>0-2 yrs</v>
      </c>
      <c r="AJ1051" t="str">
        <f t="shared" si="99"/>
        <v>Good</v>
      </c>
      <c r="AK1051" t="str">
        <f t="shared" si="100"/>
        <v>Satisfied</v>
      </c>
      <c r="AL1051">
        <f t="shared" si="101"/>
        <v>63612</v>
      </c>
    </row>
    <row r="1052" spans="1:38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96"/>
        <v>36-45</v>
      </c>
      <c r="AH1052" t="str">
        <f t="shared" si="97"/>
        <v>Mid (3-6K)</v>
      </c>
      <c r="AI1052" t="str">
        <f t="shared" si="98"/>
        <v>10+ yrs</v>
      </c>
      <c r="AJ1052" t="str">
        <f t="shared" si="99"/>
        <v>Good</v>
      </c>
      <c r="AK1052" t="str">
        <f t="shared" si="100"/>
        <v>Very Satisfied</v>
      </c>
      <c r="AL1052">
        <f t="shared" si="101"/>
        <v>44076</v>
      </c>
    </row>
    <row r="1053" spans="1:38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96"/>
        <v>36-45</v>
      </c>
      <c r="AH1053" t="str">
        <f t="shared" si="97"/>
        <v>Mid (3-6K)</v>
      </c>
      <c r="AI1053" t="str">
        <f t="shared" si="98"/>
        <v>0-2 yrs</v>
      </c>
      <c r="AJ1053" t="str">
        <f t="shared" si="99"/>
        <v>Good</v>
      </c>
      <c r="AK1053" t="str">
        <f t="shared" si="100"/>
        <v>Satisfied</v>
      </c>
      <c r="AL1053">
        <f t="shared" si="101"/>
        <v>57216</v>
      </c>
    </row>
    <row r="1054" spans="1:38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96"/>
        <v>26-35</v>
      </c>
      <c r="AH1054" t="str">
        <f t="shared" si="97"/>
        <v>Low (0-3K)</v>
      </c>
      <c r="AI1054" t="str">
        <f t="shared" si="98"/>
        <v>0-2 yrs</v>
      </c>
      <c r="AJ1054" t="str">
        <f t="shared" si="99"/>
        <v>Good</v>
      </c>
      <c r="AK1054" t="str">
        <f t="shared" si="100"/>
        <v>Satisfied</v>
      </c>
      <c r="AL1054">
        <f t="shared" si="101"/>
        <v>15288</v>
      </c>
    </row>
    <row r="1055" spans="1:38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96"/>
        <v>46+</v>
      </c>
      <c r="AH1055" t="str">
        <f t="shared" si="97"/>
        <v>Mid (3-6K)</v>
      </c>
      <c r="AI1055" t="str">
        <f t="shared" si="98"/>
        <v>10+ yrs</v>
      </c>
      <c r="AJ1055" t="str">
        <f t="shared" si="99"/>
        <v>Excellent</v>
      </c>
      <c r="AK1055" t="str">
        <f t="shared" si="100"/>
        <v>Satisfied</v>
      </c>
      <c r="AL1055">
        <f t="shared" si="101"/>
        <v>58800</v>
      </c>
    </row>
    <row r="1056" spans="1:38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96"/>
        <v>46+</v>
      </c>
      <c r="AH1056" t="str">
        <f t="shared" si="97"/>
        <v>Very High (10K+)</v>
      </c>
      <c r="AI1056" t="str">
        <f t="shared" si="98"/>
        <v>6-10 yrs</v>
      </c>
      <c r="AJ1056" t="str">
        <f t="shared" si="99"/>
        <v>Good</v>
      </c>
      <c r="AK1056" t="str">
        <f t="shared" si="100"/>
        <v>Dissatisfied</v>
      </c>
      <c r="AL1056">
        <f t="shared" si="101"/>
        <v>125592</v>
      </c>
    </row>
    <row r="1057" spans="1:38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96"/>
        <v>26-35</v>
      </c>
      <c r="AH1057" t="str">
        <f t="shared" si="97"/>
        <v>Very High (10K+)</v>
      </c>
      <c r="AI1057" t="str">
        <f t="shared" si="98"/>
        <v>10+ yrs</v>
      </c>
      <c r="AJ1057" t="str">
        <f t="shared" si="99"/>
        <v>Good</v>
      </c>
      <c r="AK1057" t="str">
        <f t="shared" si="100"/>
        <v>Very Dissatisfied</v>
      </c>
      <c r="AL1057">
        <f t="shared" si="101"/>
        <v>204084</v>
      </c>
    </row>
    <row r="1058" spans="1:38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96"/>
        <v>26-35</v>
      </c>
      <c r="AH1058" t="str">
        <f t="shared" si="97"/>
        <v>Low (0-3K)</v>
      </c>
      <c r="AI1058" t="str">
        <f t="shared" si="98"/>
        <v>3-5 yrs</v>
      </c>
      <c r="AJ1058" t="str">
        <f t="shared" si="99"/>
        <v>Good</v>
      </c>
      <c r="AK1058" t="str">
        <f t="shared" si="100"/>
        <v>Satisfied</v>
      </c>
      <c r="AL1058">
        <f t="shared" si="101"/>
        <v>34908</v>
      </c>
    </row>
    <row r="1059" spans="1:38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96"/>
        <v>26-35</v>
      </c>
      <c r="AH1059" t="str">
        <f t="shared" si="97"/>
        <v>Mid (3-6K)</v>
      </c>
      <c r="AI1059" t="str">
        <f t="shared" si="98"/>
        <v>3-5 yrs</v>
      </c>
      <c r="AJ1059" t="str">
        <f t="shared" si="99"/>
        <v>Good</v>
      </c>
      <c r="AK1059" t="str">
        <f t="shared" si="100"/>
        <v>Dissatisfied</v>
      </c>
      <c r="AL1059">
        <f t="shared" si="101"/>
        <v>69180</v>
      </c>
    </row>
    <row r="1060" spans="1:38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96"/>
        <v>26-35</v>
      </c>
      <c r="AH1060" t="str">
        <f t="shared" si="97"/>
        <v>Mid (3-6K)</v>
      </c>
      <c r="AI1060" t="str">
        <f t="shared" si="98"/>
        <v>10+ yrs</v>
      </c>
      <c r="AJ1060" t="str">
        <f t="shared" si="99"/>
        <v>Excellent</v>
      </c>
      <c r="AK1060" t="str">
        <f t="shared" si="100"/>
        <v>Dissatisfied</v>
      </c>
      <c r="AL1060">
        <f t="shared" si="101"/>
        <v>55188</v>
      </c>
    </row>
    <row r="1061" spans="1:38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96"/>
        <v>26-35</v>
      </c>
      <c r="AH1061" t="str">
        <f t="shared" si="97"/>
        <v>Low (0-3K)</v>
      </c>
      <c r="AI1061" t="str">
        <f t="shared" si="98"/>
        <v>0-2 yrs</v>
      </c>
      <c r="AJ1061" t="str">
        <f t="shared" si="99"/>
        <v>Good</v>
      </c>
      <c r="AK1061" t="str">
        <f t="shared" si="100"/>
        <v>Satisfied</v>
      </c>
      <c r="AL1061">
        <f t="shared" si="101"/>
        <v>28848</v>
      </c>
    </row>
    <row r="1062" spans="1:38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96"/>
        <v>20-25</v>
      </c>
      <c r="AH1062" t="str">
        <f t="shared" si="97"/>
        <v>Mid (3-6K)</v>
      </c>
      <c r="AI1062" t="str">
        <f t="shared" si="98"/>
        <v>0-2 yrs</v>
      </c>
      <c r="AJ1062" t="str">
        <f t="shared" si="99"/>
        <v>Good</v>
      </c>
      <c r="AK1062" t="str">
        <f t="shared" si="100"/>
        <v>Very Dissatisfied</v>
      </c>
      <c r="AL1062">
        <f t="shared" si="101"/>
        <v>38064</v>
      </c>
    </row>
    <row r="1063" spans="1:38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96"/>
        <v>20-25</v>
      </c>
      <c r="AH1063" t="str">
        <f t="shared" si="97"/>
        <v>Low (0-3K)</v>
      </c>
      <c r="AI1063" t="str">
        <f t="shared" si="98"/>
        <v>0-2 yrs</v>
      </c>
      <c r="AJ1063" t="str">
        <f t="shared" si="99"/>
        <v>Good</v>
      </c>
      <c r="AK1063" t="str">
        <f t="shared" si="100"/>
        <v>Dissatisfied</v>
      </c>
      <c r="AL1063">
        <f t="shared" si="101"/>
        <v>24396</v>
      </c>
    </row>
    <row r="1064" spans="1:38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96"/>
        <v>36-45</v>
      </c>
      <c r="AH1064" t="str">
        <f t="shared" si="97"/>
        <v>Very High (10K+)</v>
      </c>
      <c r="AI1064" t="str">
        <f t="shared" si="98"/>
        <v>0-2 yrs</v>
      </c>
      <c r="AJ1064" t="str">
        <f t="shared" si="99"/>
        <v>Good</v>
      </c>
      <c r="AK1064" t="str">
        <f t="shared" si="100"/>
        <v>Satisfied</v>
      </c>
      <c r="AL1064">
        <f t="shared" si="101"/>
        <v>122508</v>
      </c>
    </row>
    <row r="1065" spans="1:38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96"/>
        <v>26-35</v>
      </c>
      <c r="AH1065" t="str">
        <f t="shared" si="97"/>
        <v>High (6-10K)</v>
      </c>
      <c r="AI1065" t="str">
        <f t="shared" si="98"/>
        <v>6-10 yrs</v>
      </c>
      <c r="AJ1065" t="str">
        <f t="shared" si="99"/>
        <v>Good</v>
      </c>
      <c r="AK1065" t="str">
        <f t="shared" si="100"/>
        <v>Satisfied</v>
      </c>
      <c r="AL1065">
        <f t="shared" si="101"/>
        <v>103440</v>
      </c>
    </row>
    <row r="1066" spans="1:38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96"/>
        <v>26-35</v>
      </c>
      <c r="AH1066" t="str">
        <f t="shared" si="97"/>
        <v>Low (0-3K)</v>
      </c>
      <c r="AI1066" t="str">
        <f t="shared" si="98"/>
        <v>3-5 yrs</v>
      </c>
      <c r="AJ1066" t="str">
        <f t="shared" si="99"/>
        <v>Excellent</v>
      </c>
      <c r="AK1066" t="str">
        <f t="shared" si="100"/>
        <v>Satisfied</v>
      </c>
      <c r="AL1066">
        <f t="shared" si="101"/>
        <v>24768</v>
      </c>
    </row>
    <row r="1067" spans="1:38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96"/>
        <v>46+</v>
      </c>
      <c r="AH1067" t="str">
        <f t="shared" si="97"/>
        <v>Mid (3-6K)</v>
      </c>
      <c r="AI1067" t="str">
        <f t="shared" si="98"/>
        <v>3-5 yrs</v>
      </c>
      <c r="AJ1067" t="str">
        <f t="shared" si="99"/>
        <v>Good</v>
      </c>
      <c r="AK1067" t="str">
        <f t="shared" si="100"/>
        <v>Satisfied</v>
      </c>
      <c r="AL1067">
        <f t="shared" si="101"/>
        <v>48420</v>
      </c>
    </row>
    <row r="1068" spans="1:38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96"/>
        <v>26-35</v>
      </c>
      <c r="AH1068" t="str">
        <f t="shared" si="97"/>
        <v>Mid (3-6K)</v>
      </c>
      <c r="AI1068" t="str">
        <f t="shared" si="98"/>
        <v>3-5 yrs</v>
      </c>
      <c r="AJ1068" t="str">
        <f t="shared" si="99"/>
        <v>Good</v>
      </c>
      <c r="AK1068" t="str">
        <f t="shared" si="100"/>
        <v>Dissatisfied</v>
      </c>
      <c r="AL1068">
        <f t="shared" si="101"/>
        <v>46056</v>
      </c>
    </row>
    <row r="1069" spans="1:38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96"/>
        <v>46+</v>
      </c>
      <c r="AH1069" t="str">
        <f t="shared" si="97"/>
        <v>Mid (3-6K)</v>
      </c>
      <c r="AI1069" t="str">
        <f t="shared" si="98"/>
        <v>3-5 yrs</v>
      </c>
      <c r="AJ1069" t="str">
        <f t="shared" si="99"/>
        <v>Good</v>
      </c>
      <c r="AK1069" t="str">
        <f t="shared" si="100"/>
        <v>Satisfied</v>
      </c>
      <c r="AL1069">
        <f t="shared" si="101"/>
        <v>55092</v>
      </c>
    </row>
    <row r="1070" spans="1:38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96"/>
        <v>26-35</v>
      </c>
      <c r="AH1070" t="str">
        <f t="shared" si="97"/>
        <v>Low (0-3K)</v>
      </c>
      <c r="AI1070" t="str">
        <f t="shared" si="98"/>
        <v>0-2 yrs</v>
      </c>
      <c r="AJ1070" t="str">
        <f t="shared" si="99"/>
        <v>Good</v>
      </c>
      <c r="AK1070" t="str">
        <f t="shared" si="100"/>
        <v>Very Dissatisfied</v>
      </c>
      <c r="AL1070">
        <f t="shared" si="101"/>
        <v>30732</v>
      </c>
    </row>
    <row r="1071" spans="1:38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96"/>
        <v>26-35</v>
      </c>
      <c r="AH1071" t="str">
        <f t="shared" si="97"/>
        <v>Low (0-3K)</v>
      </c>
      <c r="AI1071" t="str">
        <f t="shared" si="98"/>
        <v>0-2 yrs</v>
      </c>
      <c r="AJ1071" t="str">
        <f t="shared" si="99"/>
        <v>Good</v>
      </c>
      <c r="AK1071" t="str">
        <f t="shared" si="100"/>
        <v>Satisfied</v>
      </c>
      <c r="AL1071">
        <f t="shared" si="101"/>
        <v>18756</v>
      </c>
    </row>
    <row r="1072" spans="1:38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96"/>
        <v>26-35</v>
      </c>
      <c r="AH1072" t="str">
        <f t="shared" si="97"/>
        <v>Mid (3-6K)</v>
      </c>
      <c r="AI1072" t="str">
        <f t="shared" si="98"/>
        <v>3-5 yrs</v>
      </c>
      <c r="AJ1072" t="str">
        <f t="shared" si="99"/>
        <v>Good</v>
      </c>
      <c r="AK1072" t="str">
        <f t="shared" si="100"/>
        <v>Very Dissatisfied</v>
      </c>
      <c r="AL1072">
        <f t="shared" si="101"/>
        <v>58776</v>
      </c>
    </row>
    <row r="1073" spans="1:38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96"/>
        <v>46+</v>
      </c>
      <c r="AH1073" t="str">
        <f t="shared" si="97"/>
        <v>Mid (3-6K)</v>
      </c>
      <c r="AI1073" t="str">
        <f t="shared" si="98"/>
        <v>3-5 yrs</v>
      </c>
      <c r="AJ1073" t="str">
        <f t="shared" si="99"/>
        <v>Excellent</v>
      </c>
      <c r="AK1073" t="str">
        <f t="shared" si="100"/>
        <v>Very Dissatisfied</v>
      </c>
      <c r="AL1073">
        <f t="shared" si="101"/>
        <v>57468</v>
      </c>
    </row>
    <row r="1074" spans="1:38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96"/>
        <v>26-35</v>
      </c>
      <c r="AH1074" t="str">
        <f t="shared" si="97"/>
        <v>Mid (3-6K)</v>
      </c>
      <c r="AI1074" t="str">
        <f t="shared" si="98"/>
        <v>3-5 yrs</v>
      </c>
      <c r="AJ1074" t="str">
        <f t="shared" si="99"/>
        <v>Good</v>
      </c>
      <c r="AK1074" t="str">
        <f t="shared" si="100"/>
        <v>Dissatisfied</v>
      </c>
      <c r="AL1074">
        <f t="shared" si="101"/>
        <v>38160</v>
      </c>
    </row>
    <row r="1075" spans="1:38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96"/>
        <v>26-35</v>
      </c>
      <c r="AH1075" t="str">
        <f t="shared" si="97"/>
        <v>High (6-10K)</v>
      </c>
      <c r="AI1075" t="str">
        <f t="shared" si="98"/>
        <v>6-10 yrs</v>
      </c>
      <c r="AJ1075" t="str">
        <f t="shared" si="99"/>
        <v>Good</v>
      </c>
      <c r="AK1075" t="str">
        <f t="shared" si="100"/>
        <v>Dissatisfied</v>
      </c>
      <c r="AL1075">
        <f t="shared" si="101"/>
        <v>78588</v>
      </c>
    </row>
    <row r="1076" spans="1:38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96"/>
        <v>26-35</v>
      </c>
      <c r="AH1076" t="str">
        <f t="shared" si="97"/>
        <v>High (6-10K)</v>
      </c>
      <c r="AI1076" t="str">
        <f t="shared" si="98"/>
        <v>0-2 yrs</v>
      </c>
      <c r="AJ1076" t="str">
        <f t="shared" si="99"/>
        <v>Good</v>
      </c>
      <c r="AK1076" t="str">
        <f t="shared" si="100"/>
        <v>Satisfied</v>
      </c>
      <c r="AL1076">
        <f t="shared" si="101"/>
        <v>76656</v>
      </c>
    </row>
    <row r="1077" spans="1:38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96"/>
        <v>26-35</v>
      </c>
      <c r="AH1077" t="str">
        <f t="shared" si="97"/>
        <v>Very High (10K+)</v>
      </c>
      <c r="AI1077" t="str">
        <f t="shared" si="98"/>
        <v>3-5 yrs</v>
      </c>
      <c r="AJ1077" t="str">
        <f t="shared" si="99"/>
        <v>Excellent</v>
      </c>
      <c r="AK1077" t="str">
        <f t="shared" si="100"/>
        <v>Very Satisfied</v>
      </c>
      <c r="AL1077">
        <f t="shared" si="101"/>
        <v>134928</v>
      </c>
    </row>
    <row r="1078" spans="1:38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96"/>
        <v>46+</v>
      </c>
      <c r="AH1078" t="str">
        <f t="shared" si="97"/>
        <v>Very High (10K+)</v>
      </c>
      <c r="AI1078" t="str">
        <f t="shared" si="98"/>
        <v>10+ yrs</v>
      </c>
      <c r="AJ1078" t="str">
        <f t="shared" si="99"/>
        <v>Excellent</v>
      </c>
      <c r="AK1078" t="str">
        <f t="shared" si="100"/>
        <v>Very Satisfied</v>
      </c>
      <c r="AL1078">
        <f t="shared" si="101"/>
        <v>192384</v>
      </c>
    </row>
    <row r="1079" spans="1:38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96"/>
        <v>26-35</v>
      </c>
      <c r="AH1079" t="str">
        <f t="shared" si="97"/>
        <v>Low (0-3K)</v>
      </c>
      <c r="AI1079" t="str">
        <f t="shared" si="98"/>
        <v>6-10 yrs</v>
      </c>
      <c r="AJ1079" t="str">
        <f t="shared" si="99"/>
        <v>Good</v>
      </c>
      <c r="AK1079" t="str">
        <f t="shared" si="100"/>
        <v>Very Dissatisfied</v>
      </c>
      <c r="AL1079">
        <f t="shared" si="101"/>
        <v>28344</v>
      </c>
    </row>
    <row r="1080" spans="1:38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96"/>
        <v>36-45</v>
      </c>
      <c r="AH1080" t="str">
        <f t="shared" si="97"/>
        <v>Very High (10K+)</v>
      </c>
      <c r="AI1080" t="str">
        <f t="shared" si="98"/>
        <v>10+ yrs</v>
      </c>
      <c r="AJ1080" t="str">
        <f t="shared" si="99"/>
        <v>Good</v>
      </c>
      <c r="AK1080" t="str">
        <f t="shared" si="100"/>
        <v>Very Dissatisfied</v>
      </c>
      <c r="AL1080">
        <f t="shared" si="101"/>
        <v>195936</v>
      </c>
    </row>
    <row r="1081" spans="1:38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96"/>
        <v>36-45</v>
      </c>
      <c r="AH1081" t="str">
        <f t="shared" si="97"/>
        <v>High (6-10K)</v>
      </c>
      <c r="AI1081" t="str">
        <f t="shared" si="98"/>
        <v>0-2 yrs</v>
      </c>
      <c r="AJ1081" t="str">
        <f t="shared" si="99"/>
        <v>Good</v>
      </c>
      <c r="AK1081" t="str">
        <f t="shared" si="100"/>
        <v>Dissatisfied</v>
      </c>
      <c r="AL1081">
        <f t="shared" si="101"/>
        <v>100512</v>
      </c>
    </row>
    <row r="1082" spans="1:38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96"/>
        <v>46+</v>
      </c>
      <c r="AH1082" t="str">
        <f t="shared" si="97"/>
        <v>Very High (10K+)</v>
      </c>
      <c r="AI1082" t="str">
        <f t="shared" si="98"/>
        <v>10+ yrs</v>
      </c>
      <c r="AJ1082" t="str">
        <f t="shared" si="99"/>
        <v>Good</v>
      </c>
      <c r="AK1082" t="str">
        <f t="shared" si="100"/>
        <v>Dissatisfied</v>
      </c>
      <c r="AL1082">
        <f t="shared" si="101"/>
        <v>199272</v>
      </c>
    </row>
    <row r="1083" spans="1:38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96"/>
        <v>26-35</v>
      </c>
      <c r="AH1083" t="str">
        <f t="shared" si="97"/>
        <v>High (6-10K)</v>
      </c>
      <c r="AI1083" t="str">
        <f t="shared" si="98"/>
        <v>10+ yrs</v>
      </c>
      <c r="AJ1083" t="str">
        <f t="shared" si="99"/>
        <v>Good</v>
      </c>
      <c r="AK1083" t="str">
        <f t="shared" si="100"/>
        <v>Dissatisfied</v>
      </c>
      <c r="AL1083">
        <f t="shared" si="101"/>
        <v>103272</v>
      </c>
    </row>
    <row r="1084" spans="1:38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96"/>
        <v>20-25</v>
      </c>
      <c r="AH1084" t="str">
        <f t="shared" si="97"/>
        <v>Low (0-3K)</v>
      </c>
      <c r="AI1084" t="str">
        <f t="shared" si="98"/>
        <v>3-5 yrs</v>
      </c>
      <c r="AJ1084" t="str">
        <f t="shared" si="99"/>
        <v>Good</v>
      </c>
      <c r="AK1084" t="str">
        <f t="shared" si="100"/>
        <v>Satisfied</v>
      </c>
      <c r="AL1084">
        <f t="shared" si="101"/>
        <v>27264</v>
      </c>
    </row>
    <row r="1085" spans="1:38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96"/>
        <v>36-45</v>
      </c>
      <c r="AH1085" t="str">
        <f t="shared" si="97"/>
        <v>Low (0-3K)</v>
      </c>
      <c r="AI1085" t="str">
        <f t="shared" si="98"/>
        <v>3-5 yrs</v>
      </c>
      <c r="AJ1085" t="str">
        <f t="shared" si="99"/>
        <v>Good</v>
      </c>
      <c r="AK1085" t="str">
        <f t="shared" si="100"/>
        <v>Very Dissatisfied</v>
      </c>
      <c r="AL1085">
        <f t="shared" si="101"/>
        <v>24216</v>
      </c>
    </row>
    <row r="1086" spans="1:38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96"/>
        <v>26-35</v>
      </c>
      <c r="AH1086" t="str">
        <f t="shared" si="97"/>
        <v>High (6-10K)</v>
      </c>
      <c r="AI1086" t="str">
        <f t="shared" si="98"/>
        <v>6-10 yrs</v>
      </c>
      <c r="AJ1086" t="str">
        <f t="shared" si="99"/>
        <v>Good</v>
      </c>
      <c r="AK1086" t="str">
        <f t="shared" si="100"/>
        <v>Satisfied</v>
      </c>
      <c r="AL1086">
        <f t="shared" si="101"/>
        <v>84996</v>
      </c>
    </row>
    <row r="1087" spans="1:38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96"/>
        <v>26-35</v>
      </c>
      <c r="AH1087" t="str">
        <f t="shared" si="97"/>
        <v>Mid (3-6K)</v>
      </c>
      <c r="AI1087" t="str">
        <f t="shared" si="98"/>
        <v>6-10 yrs</v>
      </c>
      <c r="AJ1087" t="str">
        <f t="shared" si="99"/>
        <v>Good</v>
      </c>
      <c r="AK1087" t="str">
        <f t="shared" si="100"/>
        <v>Satisfied</v>
      </c>
      <c r="AL1087">
        <f t="shared" si="101"/>
        <v>49008</v>
      </c>
    </row>
    <row r="1088" spans="1:38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96"/>
        <v>46+</v>
      </c>
      <c r="AH1088" t="str">
        <f t="shared" si="97"/>
        <v>Very High (10K+)</v>
      </c>
      <c r="AI1088" t="str">
        <f t="shared" si="98"/>
        <v>10+ yrs</v>
      </c>
      <c r="AJ1088" t="str">
        <f t="shared" si="99"/>
        <v>Good</v>
      </c>
      <c r="AK1088" t="str">
        <f t="shared" si="100"/>
        <v>Very Satisfied</v>
      </c>
      <c r="AL1088">
        <f t="shared" si="101"/>
        <v>172932</v>
      </c>
    </row>
    <row r="1089" spans="1:38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96"/>
        <v>26-35</v>
      </c>
      <c r="AH1089" t="str">
        <f t="shared" si="97"/>
        <v>Low (0-3K)</v>
      </c>
      <c r="AI1089" t="str">
        <f t="shared" si="98"/>
        <v>10+ yrs</v>
      </c>
      <c r="AJ1089" t="str">
        <f t="shared" si="99"/>
        <v>Excellent</v>
      </c>
      <c r="AK1089" t="str">
        <f t="shared" si="100"/>
        <v>Satisfied</v>
      </c>
      <c r="AL1089">
        <f t="shared" si="101"/>
        <v>27696</v>
      </c>
    </row>
    <row r="1090" spans="1:38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si="96"/>
        <v>36-45</v>
      </c>
      <c r="AH1090" t="str">
        <f t="shared" si="97"/>
        <v>Mid (3-6K)</v>
      </c>
      <c r="AI1090" t="str">
        <f t="shared" si="98"/>
        <v>0-2 yrs</v>
      </c>
      <c r="AJ1090" t="str">
        <f t="shared" si="99"/>
        <v>Good</v>
      </c>
      <c r="AK1090" t="str">
        <f t="shared" si="100"/>
        <v>Dissatisfied</v>
      </c>
      <c r="AL1090">
        <f t="shared" si="101"/>
        <v>58092</v>
      </c>
    </row>
    <row r="1091" spans="1:38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ref="AG1091:AG1154" si="102">IF(A1091&lt;=25,"20-25",IF(A1091&lt;=35,"26-35",IF(A1091&lt;=45,"36-45","46+")))</f>
        <v>36-45</v>
      </c>
      <c r="AH1091" t="str">
        <f t="shared" ref="AH1091:AH1154" si="103">IF(R1091&lt;=3000,"Low (0-3K)",IF(R1091&lt;=6000,"Mid (3-6K)",IF(R1091&lt;=10000,"High (6-10K)","Very High (10K+)")))</f>
        <v>Mid (3-6K)</v>
      </c>
      <c r="AI1091" t="str">
        <f t="shared" ref="AI1091:AI1154" si="104">IF(AC1091&lt;=2,"0-2 yrs",IF(AC1091&lt;=5,"3-5 yrs",IF(AC1091&lt;=10,"6-10 yrs","10+ yrs")))</f>
        <v>6-10 yrs</v>
      </c>
      <c r="AJ1091" t="str">
        <f t="shared" ref="AJ1091:AJ1154" si="105">IF(W1091=4,"Excellent",IF(W1091=3,"Good",IF(W1091=2,"Needs Improvement","Poor")))</f>
        <v>Good</v>
      </c>
      <c r="AK1091" t="str">
        <f t="shared" ref="AK1091:AK1154" si="106">IF(P1091=4,"Very Satisfied",IF(P1091=3,"Satisfied",IF(P1091=2,"Dissatisfied","Very Dissatisfied")))</f>
        <v>Very Satisfied</v>
      </c>
      <c r="AL1091">
        <f t="shared" ref="AL1091:AL1154" si="107">R1091*12</f>
        <v>51420</v>
      </c>
    </row>
    <row r="1092" spans="1:38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102"/>
        <v>26-35</v>
      </c>
      <c r="AH1092" t="str">
        <f t="shared" si="103"/>
        <v>High (6-10K)</v>
      </c>
      <c r="AI1092" t="str">
        <f t="shared" si="104"/>
        <v>6-10 yrs</v>
      </c>
      <c r="AJ1092" t="str">
        <f t="shared" si="105"/>
        <v>Good</v>
      </c>
      <c r="AK1092" t="str">
        <f t="shared" si="106"/>
        <v>Very Dissatisfied</v>
      </c>
      <c r="AL1092">
        <f t="shared" si="107"/>
        <v>116580</v>
      </c>
    </row>
    <row r="1093" spans="1:38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102"/>
        <v>26-35</v>
      </c>
      <c r="AH1093" t="str">
        <f t="shared" si="103"/>
        <v>Mid (3-6K)</v>
      </c>
      <c r="AI1093" t="str">
        <f t="shared" si="104"/>
        <v>3-5 yrs</v>
      </c>
      <c r="AJ1093" t="str">
        <f t="shared" si="105"/>
        <v>Good</v>
      </c>
      <c r="AK1093" t="str">
        <f t="shared" si="106"/>
        <v>Dissatisfied</v>
      </c>
      <c r="AL1093">
        <f t="shared" si="107"/>
        <v>51840</v>
      </c>
    </row>
    <row r="1094" spans="1:38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102"/>
        <v>36-45</v>
      </c>
      <c r="AH1094" t="str">
        <f t="shared" si="103"/>
        <v>Low (0-3K)</v>
      </c>
      <c r="AI1094" t="str">
        <f t="shared" si="104"/>
        <v>3-5 yrs</v>
      </c>
      <c r="AJ1094" t="str">
        <f t="shared" si="105"/>
        <v>Excellent</v>
      </c>
      <c r="AK1094" t="str">
        <f t="shared" si="106"/>
        <v>Very Satisfied</v>
      </c>
      <c r="AL1094">
        <f t="shared" si="107"/>
        <v>25584</v>
      </c>
    </row>
    <row r="1095" spans="1:38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102"/>
        <v>36-45</v>
      </c>
      <c r="AH1095" t="str">
        <f t="shared" si="103"/>
        <v>Very High (10K+)</v>
      </c>
      <c r="AI1095" t="str">
        <f t="shared" si="104"/>
        <v>10+ yrs</v>
      </c>
      <c r="AJ1095" t="str">
        <f t="shared" si="105"/>
        <v>Good</v>
      </c>
      <c r="AK1095" t="str">
        <f t="shared" si="106"/>
        <v>Very Satisfied</v>
      </c>
      <c r="AL1095">
        <f t="shared" si="107"/>
        <v>121488</v>
      </c>
    </row>
    <row r="1096" spans="1:38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102"/>
        <v>36-45</v>
      </c>
      <c r="AH1096" t="str">
        <f t="shared" si="103"/>
        <v>Mid (3-6K)</v>
      </c>
      <c r="AI1096" t="str">
        <f t="shared" si="104"/>
        <v>6-10 yrs</v>
      </c>
      <c r="AJ1096" t="str">
        <f t="shared" si="105"/>
        <v>Good</v>
      </c>
      <c r="AK1096" t="str">
        <f t="shared" si="106"/>
        <v>Very Dissatisfied</v>
      </c>
      <c r="AL1096">
        <f t="shared" si="107"/>
        <v>65676</v>
      </c>
    </row>
    <row r="1097" spans="1:38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102"/>
        <v>26-35</v>
      </c>
      <c r="AH1097" t="str">
        <f t="shared" si="103"/>
        <v>Mid (3-6K)</v>
      </c>
      <c r="AI1097" t="str">
        <f t="shared" si="104"/>
        <v>10+ yrs</v>
      </c>
      <c r="AJ1097" t="str">
        <f t="shared" si="105"/>
        <v>Good</v>
      </c>
      <c r="AK1097" t="str">
        <f t="shared" si="106"/>
        <v>Satisfied</v>
      </c>
      <c r="AL1097">
        <f t="shared" si="107"/>
        <v>62484</v>
      </c>
    </row>
    <row r="1098" spans="1:38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102"/>
        <v>36-45</v>
      </c>
      <c r="AH1098" t="str">
        <f t="shared" si="103"/>
        <v>Very High (10K+)</v>
      </c>
      <c r="AI1098" t="str">
        <f t="shared" si="104"/>
        <v>10+ yrs</v>
      </c>
      <c r="AJ1098" t="str">
        <f t="shared" si="105"/>
        <v>Excellent</v>
      </c>
      <c r="AK1098" t="str">
        <f t="shared" si="106"/>
        <v>Very Satisfied</v>
      </c>
      <c r="AL1098">
        <f t="shared" si="107"/>
        <v>197244</v>
      </c>
    </row>
    <row r="1099" spans="1:38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102"/>
        <v>20-25</v>
      </c>
      <c r="AH1099" t="str">
        <f t="shared" si="103"/>
        <v>Low (0-3K)</v>
      </c>
      <c r="AI1099" t="str">
        <f t="shared" si="104"/>
        <v>0-2 yrs</v>
      </c>
      <c r="AJ1099" t="str">
        <f t="shared" si="105"/>
        <v>Good</v>
      </c>
      <c r="AK1099" t="str">
        <f t="shared" si="106"/>
        <v>Very Dissatisfied</v>
      </c>
      <c r="AL1099">
        <f t="shared" si="107"/>
        <v>27552</v>
      </c>
    </row>
    <row r="1100" spans="1:38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102"/>
        <v>36-45</v>
      </c>
      <c r="AH1100" t="str">
        <f t="shared" si="103"/>
        <v>Mid (3-6K)</v>
      </c>
      <c r="AI1100" t="str">
        <f t="shared" si="104"/>
        <v>0-2 yrs</v>
      </c>
      <c r="AJ1100" t="str">
        <f t="shared" si="105"/>
        <v>Good</v>
      </c>
      <c r="AK1100" t="str">
        <f t="shared" si="106"/>
        <v>Very Satisfied</v>
      </c>
      <c r="AL1100">
        <f t="shared" si="107"/>
        <v>48828</v>
      </c>
    </row>
    <row r="1101" spans="1:38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102"/>
        <v>36-45</v>
      </c>
      <c r="AH1101" t="str">
        <f t="shared" si="103"/>
        <v>High (6-10K)</v>
      </c>
      <c r="AI1101" t="str">
        <f t="shared" si="104"/>
        <v>6-10 yrs</v>
      </c>
      <c r="AJ1101" t="str">
        <f t="shared" si="105"/>
        <v>Good</v>
      </c>
      <c r="AK1101" t="str">
        <f t="shared" si="106"/>
        <v>Dissatisfied</v>
      </c>
      <c r="AL1101">
        <f t="shared" si="107"/>
        <v>89292</v>
      </c>
    </row>
    <row r="1102" spans="1:38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102"/>
        <v>26-35</v>
      </c>
      <c r="AH1102" t="str">
        <f t="shared" si="103"/>
        <v>Low (0-3K)</v>
      </c>
      <c r="AI1102" t="str">
        <f t="shared" si="104"/>
        <v>3-5 yrs</v>
      </c>
      <c r="AJ1102" t="str">
        <f t="shared" si="105"/>
        <v>Excellent</v>
      </c>
      <c r="AK1102" t="str">
        <f t="shared" si="106"/>
        <v>Satisfied</v>
      </c>
      <c r="AL1102">
        <f t="shared" si="107"/>
        <v>29160</v>
      </c>
    </row>
    <row r="1103" spans="1:38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102"/>
        <v>26-35</v>
      </c>
      <c r="AH1103" t="str">
        <f t="shared" si="103"/>
        <v>Mid (3-6K)</v>
      </c>
      <c r="AI1103" t="str">
        <f t="shared" si="104"/>
        <v>6-10 yrs</v>
      </c>
      <c r="AJ1103" t="str">
        <f t="shared" si="105"/>
        <v>Good</v>
      </c>
      <c r="AK1103" t="str">
        <f t="shared" si="106"/>
        <v>Dissatisfied</v>
      </c>
      <c r="AL1103">
        <f t="shared" si="107"/>
        <v>70536</v>
      </c>
    </row>
    <row r="1104" spans="1:38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102"/>
        <v>36-45</v>
      </c>
      <c r="AH1104" t="str">
        <f t="shared" si="103"/>
        <v>Low (0-3K)</v>
      </c>
      <c r="AI1104" t="str">
        <f t="shared" si="104"/>
        <v>3-5 yrs</v>
      </c>
      <c r="AJ1104" t="str">
        <f t="shared" si="105"/>
        <v>Excellent</v>
      </c>
      <c r="AK1104" t="str">
        <f t="shared" si="106"/>
        <v>Very Satisfied</v>
      </c>
      <c r="AL1104">
        <f t="shared" si="107"/>
        <v>31728</v>
      </c>
    </row>
    <row r="1105" spans="1:38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102"/>
        <v>46+</v>
      </c>
      <c r="AH1105" t="str">
        <f t="shared" si="103"/>
        <v>High (6-10K)</v>
      </c>
      <c r="AI1105" t="str">
        <f t="shared" si="104"/>
        <v>6-10 yrs</v>
      </c>
      <c r="AJ1105" t="str">
        <f t="shared" si="105"/>
        <v>Good</v>
      </c>
      <c r="AK1105" t="str">
        <f t="shared" si="106"/>
        <v>Satisfied</v>
      </c>
      <c r="AL1105">
        <f t="shared" si="107"/>
        <v>77268</v>
      </c>
    </row>
    <row r="1106" spans="1:38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102"/>
        <v>26-35</v>
      </c>
      <c r="AH1106" t="str">
        <f t="shared" si="103"/>
        <v>Low (0-3K)</v>
      </c>
      <c r="AI1106" t="str">
        <f t="shared" si="104"/>
        <v>0-2 yrs</v>
      </c>
      <c r="AJ1106" t="str">
        <f t="shared" si="105"/>
        <v>Good</v>
      </c>
      <c r="AK1106" t="str">
        <f t="shared" si="106"/>
        <v>Satisfied</v>
      </c>
      <c r="AL1106">
        <f t="shared" si="107"/>
        <v>29412</v>
      </c>
    </row>
    <row r="1107" spans="1:38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102"/>
        <v>26-35</v>
      </c>
      <c r="AH1107" t="str">
        <f t="shared" si="103"/>
        <v>High (6-10K)</v>
      </c>
      <c r="AI1107" t="str">
        <f t="shared" si="104"/>
        <v>0-2 yrs</v>
      </c>
      <c r="AJ1107" t="str">
        <f t="shared" si="105"/>
        <v>Good</v>
      </c>
      <c r="AK1107" t="str">
        <f t="shared" si="106"/>
        <v>Very Dissatisfied</v>
      </c>
      <c r="AL1107">
        <f t="shared" si="107"/>
        <v>76704</v>
      </c>
    </row>
    <row r="1108" spans="1:38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102"/>
        <v>26-35</v>
      </c>
      <c r="AH1108" t="str">
        <f t="shared" si="103"/>
        <v>High (6-10K)</v>
      </c>
      <c r="AI1108" t="str">
        <f t="shared" si="104"/>
        <v>6-10 yrs</v>
      </c>
      <c r="AJ1108" t="str">
        <f t="shared" si="105"/>
        <v>Good</v>
      </c>
      <c r="AK1108" t="str">
        <f t="shared" si="106"/>
        <v>Very Dissatisfied</v>
      </c>
      <c r="AL1108">
        <f t="shared" si="107"/>
        <v>116568</v>
      </c>
    </row>
    <row r="1109" spans="1:38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102"/>
        <v>36-45</v>
      </c>
      <c r="AH1109" t="str">
        <f t="shared" si="103"/>
        <v>High (6-10K)</v>
      </c>
      <c r="AI1109" t="str">
        <f t="shared" si="104"/>
        <v>6-10 yrs</v>
      </c>
      <c r="AJ1109" t="str">
        <f t="shared" si="105"/>
        <v>Good</v>
      </c>
      <c r="AK1109" t="str">
        <f t="shared" si="106"/>
        <v>Satisfied</v>
      </c>
      <c r="AL1109">
        <f t="shared" si="107"/>
        <v>72924</v>
      </c>
    </row>
    <row r="1110" spans="1:38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102"/>
        <v>26-35</v>
      </c>
      <c r="AH1110" t="str">
        <f t="shared" si="103"/>
        <v>Low (0-3K)</v>
      </c>
      <c r="AI1110" t="str">
        <f t="shared" si="104"/>
        <v>3-5 yrs</v>
      </c>
      <c r="AJ1110" t="str">
        <f t="shared" si="105"/>
        <v>Good</v>
      </c>
      <c r="AK1110" t="str">
        <f t="shared" si="106"/>
        <v>Very Dissatisfied</v>
      </c>
      <c r="AL1110">
        <f t="shared" si="107"/>
        <v>29400</v>
      </c>
    </row>
    <row r="1111" spans="1:38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102"/>
        <v>26-35</v>
      </c>
      <c r="AH1111" t="str">
        <f t="shared" si="103"/>
        <v>High (6-10K)</v>
      </c>
      <c r="AI1111" t="str">
        <f t="shared" si="104"/>
        <v>3-5 yrs</v>
      </c>
      <c r="AJ1111" t="str">
        <f t="shared" si="105"/>
        <v>Good</v>
      </c>
      <c r="AK1111" t="str">
        <f t="shared" si="106"/>
        <v>Dissatisfied</v>
      </c>
      <c r="AL1111">
        <f t="shared" si="107"/>
        <v>111000</v>
      </c>
    </row>
    <row r="1112" spans="1:38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102"/>
        <v>26-35</v>
      </c>
      <c r="AH1112" t="str">
        <f t="shared" si="103"/>
        <v>Low (0-3K)</v>
      </c>
      <c r="AI1112" t="str">
        <f t="shared" si="104"/>
        <v>0-2 yrs</v>
      </c>
      <c r="AJ1112" t="str">
        <f t="shared" si="105"/>
        <v>Good</v>
      </c>
      <c r="AK1112" t="str">
        <f t="shared" si="106"/>
        <v>Very Dissatisfied</v>
      </c>
      <c r="AL1112">
        <f t="shared" si="107"/>
        <v>24888</v>
      </c>
    </row>
    <row r="1113" spans="1:38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102"/>
        <v>46+</v>
      </c>
      <c r="AH1113" t="str">
        <f t="shared" si="103"/>
        <v>Very High (10K+)</v>
      </c>
      <c r="AI1113" t="str">
        <f t="shared" si="104"/>
        <v>10+ yrs</v>
      </c>
      <c r="AJ1113" t="str">
        <f t="shared" si="105"/>
        <v>Good</v>
      </c>
      <c r="AK1113" t="str">
        <f t="shared" si="106"/>
        <v>Very Satisfied</v>
      </c>
      <c r="AL1113">
        <f t="shared" si="107"/>
        <v>122028</v>
      </c>
    </row>
    <row r="1114" spans="1:38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102"/>
        <v>36-45</v>
      </c>
      <c r="AH1114" t="str">
        <f t="shared" si="103"/>
        <v>Mid (3-6K)</v>
      </c>
      <c r="AI1114" t="str">
        <f t="shared" si="104"/>
        <v>3-5 yrs</v>
      </c>
      <c r="AJ1114" t="str">
        <f t="shared" si="105"/>
        <v>Good</v>
      </c>
      <c r="AK1114" t="str">
        <f t="shared" si="106"/>
        <v>Dissatisfied</v>
      </c>
      <c r="AL1114">
        <f t="shared" si="107"/>
        <v>58260</v>
      </c>
    </row>
    <row r="1115" spans="1:38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102"/>
        <v>26-35</v>
      </c>
      <c r="AH1115" t="str">
        <f t="shared" si="103"/>
        <v>Mid (3-6K)</v>
      </c>
      <c r="AI1115" t="str">
        <f t="shared" si="104"/>
        <v>6-10 yrs</v>
      </c>
      <c r="AJ1115" t="str">
        <f t="shared" si="105"/>
        <v>Good</v>
      </c>
      <c r="AK1115" t="str">
        <f t="shared" si="106"/>
        <v>Very Dissatisfied</v>
      </c>
      <c r="AL1115">
        <f t="shared" si="107"/>
        <v>49044</v>
      </c>
    </row>
    <row r="1116" spans="1:38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102"/>
        <v>46+</v>
      </c>
      <c r="AH1116" t="str">
        <f t="shared" si="103"/>
        <v>Low (0-3K)</v>
      </c>
      <c r="AI1116" t="str">
        <f t="shared" si="104"/>
        <v>6-10 yrs</v>
      </c>
      <c r="AJ1116" t="str">
        <f t="shared" si="105"/>
        <v>Good</v>
      </c>
      <c r="AK1116" t="str">
        <f t="shared" si="106"/>
        <v>Very Dissatisfied</v>
      </c>
      <c r="AL1116">
        <f t="shared" si="107"/>
        <v>28404</v>
      </c>
    </row>
    <row r="1117" spans="1:38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102"/>
        <v>26-35</v>
      </c>
      <c r="AH1117" t="str">
        <f t="shared" si="103"/>
        <v>Low (0-3K)</v>
      </c>
      <c r="AI1117" t="str">
        <f t="shared" si="104"/>
        <v>0-2 yrs</v>
      </c>
      <c r="AJ1117" t="str">
        <f t="shared" si="105"/>
        <v>Good</v>
      </c>
      <c r="AK1117" t="str">
        <f t="shared" si="106"/>
        <v>Very Satisfied</v>
      </c>
      <c r="AL1117">
        <f t="shared" si="107"/>
        <v>35664</v>
      </c>
    </row>
    <row r="1118" spans="1:38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102"/>
        <v>46+</v>
      </c>
      <c r="AH1118" t="str">
        <f t="shared" si="103"/>
        <v>Very High (10K+)</v>
      </c>
      <c r="AI1118" t="str">
        <f t="shared" si="104"/>
        <v>10+ yrs</v>
      </c>
      <c r="AJ1118" t="str">
        <f t="shared" si="105"/>
        <v>Excellent</v>
      </c>
      <c r="AK1118" t="str">
        <f t="shared" si="106"/>
        <v>Very Satisfied</v>
      </c>
      <c r="AL1118">
        <f t="shared" si="107"/>
        <v>235032</v>
      </c>
    </row>
    <row r="1119" spans="1:38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102"/>
        <v>26-35</v>
      </c>
      <c r="AH1119" t="str">
        <f t="shared" si="103"/>
        <v>Mid (3-6K)</v>
      </c>
      <c r="AI1119" t="str">
        <f t="shared" si="104"/>
        <v>0-2 yrs</v>
      </c>
      <c r="AJ1119" t="str">
        <f t="shared" si="105"/>
        <v>Good</v>
      </c>
      <c r="AK1119" t="str">
        <f t="shared" si="106"/>
        <v>Very Satisfied</v>
      </c>
      <c r="AL1119">
        <f t="shared" si="107"/>
        <v>65808</v>
      </c>
    </row>
    <row r="1120" spans="1:38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102"/>
        <v>26-35</v>
      </c>
      <c r="AH1120" t="str">
        <f t="shared" si="103"/>
        <v>Low (0-3K)</v>
      </c>
      <c r="AI1120" t="str">
        <f t="shared" si="104"/>
        <v>0-2 yrs</v>
      </c>
      <c r="AJ1120" t="str">
        <f t="shared" si="105"/>
        <v>Excellent</v>
      </c>
      <c r="AK1120" t="str">
        <f t="shared" si="106"/>
        <v>Very Satisfied</v>
      </c>
      <c r="AL1120">
        <f t="shared" si="107"/>
        <v>24732</v>
      </c>
    </row>
    <row r="1121" spans="1:38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102"/>
        <v>36-45</v>
      </c>
      <c r="AH1121" t="str">
        <f t="shared" si="103"/>
        <v>High (6-10K)</v>
      </c>
      <c r="AI1121" t="str">
        <f t="shared" si="104"/>
        <v>6-10 yrs</v>
      </c>
      <c r="AJ1121" t="str">
        <f t="shared" si="105"/>
        <v>Good</v>
      </c>
      <c r="AK1121" t="str">
        <f t="shared" si="106"/>
        <v>Dissatisfied</v>
      </c>
      <c r="AL1121">
        <f t="shared" si="107"/>
        <v>119088</v>
      </c>
    </row>
    <row r="1122" spans="1:38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102"/>
        <v>36-45</v>
      </c>
      <c r="AH1122" t="str">
        <f t="shared" si="103"/>
        <v>Mid (3-6K)</v>
      </c>
      <c r="AI1122" t="str">
        <f t="shared" si="104"/>
        <v>3-5 yrs</v>
      </c>
      <c r="AJ1122" t="str">
        <f t="shared" si="105"/>
        <v>Good</v>
      </c>
      <c r="AK1122" t="str">
        <f t="shared" si="106"/>
        <v>Dissatisfied</v>
      </c>
      <c r="AL1122">
        <f t="shared" si="107"/>
        <v>50376</v>
      </c>
    </row>
    <row r="1123" spans="1:38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102"/>
        <v>36-45</v>
      </c>
      <c r="AH1123" t="str">
        <f t="shared" si="103"/>
        <v>High (6-10K)</v>
      </c>
      <c r="AI1123" t="str">
        <f t="shared" si="104"/>
        <v>0-2 yrs</v>
      </c>
      <c r="AJ1123" t="str">
        <f t="shared" si="105"/>
        <v>Good</v>
      </c>
      <c r="AK1123" t="str">
        <f t="shared" si="106"/>
        <v>Satisfied</v>
      </c>
      <c r="AL1123">
        <f t="shared" si="107"/>
        <v>81780</v>
      </c>
    </row>
    <row r="1124" spans="1:38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102"/>
        <v>26-35</v>
      </c>
      <c r="AH1124" t="str">
        <f t="shared" si="103"/>
        <v>Mid (3-6K)</v>
      </c>
      <c r="AI1124" t="str">
        <f t="shared" si="104"/>
        <v>6-10 yrs</v>
      </c>
      <c r="AJ1124" t="str">
        <f t="shared" si="105"/>
        <v>Good</v>
      </c>
      <c r="AK1124" t="str">
        <f t="shared" si="106"/>
        <v>Very Dissatisfied</v>
      </c>
      <c r="AL1124">
        <f t="shared" si="107"/>
        <v>56676</v>
      </c>
    </row>
    <row r="1125" spans="1:38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102"/>
        <v>26-35</v>
      </c>
      <c r="AH1125" t="str">
        <f t="shared" si="103"/>
        <v>High (6-10K)</v>
      </c>
      <c r="AI1125" t="str">
        <f t="shared" si="104"/>
        <v>3-5 yrs</v>
      </c>
      <c r="AJ1125" t="str">
        <f t="shared" si="105"/>
        <v>Good</v>
      </c>
      <c r="AK1125" t="str">
        <f t="shared" si="106"/>
        <v>Satisfied</v>
      </c>
      <c r="AL1125">
        <f t="shared" si="107"/>
        <v>73704</v>
      </c>
    </row>
    <row r="1126" spans="1:38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102"/>
        <v>36-45</v>
      </c>
      <c r="AH1126" t="str">
        <f t="shared" si="103"/>
        <v>High (6-10K)</v>
      </c>
      <c r="AI1126" t="str">
        <f t="shared" si="104"/>
        <v>6-10 yrs</v>
      </c>
      <c r="AJ1126" t="str">
        <f t="shared" si="105"/>
        <v>Good</v>
      </c>
      <c r="AK1126" t="str">
        <f t="shared" si="106"/>
        <v>Satisfied</v>
      </c>
      <c r="AL1126">
        <f t="shared" si="107"/>
        <v>98844</v>
      </c>
    </row>
    <row r="1127" spans="1:38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102"/>
        <v>26-35</v>
      </c>
      <c r="AH1127" t="str">
        <f t="shared" si="103"/>
        <v>High (6-10K)</v>
      </c>
      <c r="AI1127" t="str">
        <f t="shared" si="104"/>
        <v>6-10 yrs</v>
      </c>
      <c r="AJ1127" t="str">
        <f t="shared" si="105"/>
        <v>Good</v>
      </c>
      <c r="AK1127" t="str">
        <f t="shared" si="106"/>
        <v>Very Satisfied</v>
      </c>
      <c r="AL1127">
        <f t="shared" si="107"/>
        <v>106236</v>
      </c>
    </row>
    <row r="1128" spans="1:38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102"/>
        <v>46+</v>
      </c>
      <c r="AH1128" t="str">
        <f t="shared" si="103"/>
        <v>Very High (10K+)</v>
      </c>
      <c r="AI1128" t="str">
        <f t="shared" si="104"/>
        <v>0-2 yrs</v>
      </c>
      <c r="AJ1128" t="str">
        <f t="shared" si="105"/>
        <v>Good</v>
      </c>
      <c r="AK1128" t="str">
        <f t="shared" si="106"/>
        <v>Satisfied</v>
      </c>
      <c r="AL1128">
        <f t="shared" si="107"/>
        <v>231972</v>
      </c>
    </row>
    <row r="1129" spans="1:38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102"/>
        <v>20-25</v>
      </c>
      <c r="AH1129" t="str">
        <f t="shared" si="103"/>
        <v>Low (0-3K)</v>
      </c>
      <c r="AI1129" t="str">
        <f t="shared" si="104"/>
        <v>0-2 yrs</v>
      </c>
      <c r="AJ1129" t="str">
        <f t="shared" si="105"/>
        <v>Good</v>
      </c>
      <c r="AK1129" t="str">
        <f t="shared" si="106"/>
        <v>Satisfied</v>
      </c>
      <c r="AL1129">
        <f t="shared" si="107"/>
        <v>24876</v>
      </c>
    </row>
    <row r="1130" spans="1:38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102"/>
        <v>36-45</v>
      </c>
      <c r="AH1130" t="str">
        <f t="shared" si="103"/>
        <v>Mid (3-6K)</v>
      </c>
      <c r="AI1130" t="str">
        <f t="shared" si="104"/>
        <v>3-5 yrs</v>
      </c>
      <c r="AJ1130" t="str">
        <f t="shared" si="105"/>
        <v>Good</v>
      </c>
      <c r="AK1130" t="str">
        <f t="shared" si="106"/>
        <v>Very Dissatisfied</v>
      </c>
      <c r="AL1130">
        <f t="shared" si="107"/>
        <v>66744</v>
      </c>
    </row>
    <row r="1131" spans="1:38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102"/>
        <v>36-45</v>
      </c>
      <c r="AH1131" t="str">
        <f t="shared" si="103"/>
        <v>Very High (10K+)</v>
      </c>
      <c r="AI1131" t="str">
        <f t="shared" si="104"/>
        <v>0-2 yrs</v>
      </c>
      <c r="AJ1131" t="str">
        <f t="shared" si="105"/>
        <v>Excellent</v>
      </c>
      <c r="AK1131" t="str">
        <f t="shared" si="106"/>
        <v>Very Satisfied</v>
      </c>
      <c r="AL1131">
        <f t="shared" si="107"/>
        <v>235356</v>
      </c>
    </row>
    <row r="1132" spans="1:38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102"/>
        <v>26-35</v>
      </c>
      <c r="AH1132" t="str">
        <f t="shared" si="103"/>
        <v>Mid (3-6K)</v>
      </c>
      <c r="AI1132" t="str">
        <f t="shared" si="104"/>
        <v>6-10 yrs</v>
      </c>
      <c r="AJ1132" t="str">
        <f t="shared" si="105"/>
        <v>Good</v>
      </c>
      <c r="AK1132" t="str">
        <f t="shared" si="106"/>
        <v>Satisfied</v>
      </c>
      <c r="AL1132">
        <f t="shared" si="107"/>
        <v>40884</v>
      </c>
    </row>
    <row r="1133" spans="1:38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102"/>
        <v>26-35</v>
      </c>
      <c r="AH1133" t="str">
        <f t="shared" si="103"/>
        <v>Mid (3-6K)</v>
      </c>
      <c r="AI1133" t="str">
        <f t="shared" si="104"/>
        <v>6-10 yrs</v>
      </c>
      <c r="AJ1133" t="str">
        <f t="shared" si="105"/>
        <v>Good</v>
      </c>
      <c r="AK1133" t="str">
        <f t="shared" si="106"/>
        <v>Satisfied</v>
      </c>
      <c r="AL1133">
        <f t="shared" si="107"/>
        <v>60756</v>
      </c>
    </row>
    <row r="1134" spans="1:38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102"/>
        <v>36-45</v>
      </c>
      <c r="AH1134" t="str">
        <f t="shared" si="103"/>
        <v>Mid (3-6K)</v>
      </c>
      <c r="AI1134" t="str">
        <f t="shared" si="104"/>
        <v>3-5 yrs</v>
      </c>
      <c r="AJ1134" t="str">
        <f t="shared" si="105"/>
        <v>Good</v>
      </c>
      <c r="AK1134" t="str">
        <f t="shared" si="106"/>
        <v>Very Dissatisfied</v>
      </c>
      <c r="AL1134">
        <f t="shared" si="107"/>
        <v>55668</v>
      </c>
    </row>
    <row r="1135" spans="1:38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102"/>
        <v>36-45</v>
      </c>
      <c r="AH1135" t="str">
        <f t="shared" si="103"/>
        <v>Mid (3-6K)</v>
      </c>
      <c r="AI1135" t="str">
        <f t="shared" si="104"/>
        <v>6-10 yrs</v>
      </c>
      <c r="AJ1135" t="str">
        <f t="shared" si="105"/>
        <v>Good</v>
      </c>
      <c r="AK1135" t="str">
        <f t="shared" si="106"/>
        <v>Dissatisfied</v>
      </c>
      <c r="AL1135">
        <f t="shared" si="107"/>
        <v>58512</v>
      </c>
    </row>
    <row r="1136" spans="1:38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102"/>
        <v>26-35</v>
      </c>
      <c r="AH1136" t="str">
        <f t="shared" si="103"/>
        <v>Low (0-3K)</v>
      </c>
      <c r="AI1136" t="str">
        <f t="shared" si="104"/>
        <v>0-2 yrs</v>
      </c>
      <c r="AJ1136" t="str">
        <f t="shared" si="105"/>
        <v>Good</v>
      </c>
      <c r="AK1136" t="str">
        <f t="shared" si="106"/>
        <v>Very Satisfied</v>
      </c>
      <c r="AL1136">
        <f t="shared" si="107"/>
        <v>32280</v>
      </c>
    </row>
    <row r="1137" spans="1:38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102"/>
        <v>46+</v>
      </c>
      <c r="AH1137" t="str">
        <f t="shared" si="103"/>
        <v>Very High (10K+)</v>
      </c>
      <c r="AI1137" t="str">
        <f t="shared" si="104"/>
        <v>10+ yrs</v>
      </c>
      <c r="AJ1137" t="str">
        <f t="shared" si="105"/>
        <v>Good</v>
      </c>
      <c r="AK1137" t="str">
        <f t="shared" si="106"/>
        <v>Very Dissatisfied</v>
      </c>
      <c r="AL1137">
        <f t="shared" si="107"/>
        <v>210804</v>
      </c>
    </row>
    <row r="1138" spans="1:38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102"/>
        <v>26-35</v>
      </c>
      <c r="AH1138" t="str">
        <f t="shared" si="103"/>
        <v>Low (0-3K)</v>
      </c>
      <c r="AI1138" t="str">
        <f t="shared" si="104"/>
        <v>0-2 yrs</v>
      </c>
      <c r="AJ1138" t="str">
        <f t="shared" si="105"/>
        <v>Good</v>
      </c>
      <c r="AK1138" t="str">
        <f t="shared" si="106"/>
        <v>Dissatisfied</v>
      </c>
      <c r="AL1138">
        <f t="shared" si="107"/>
        <v>28896</v>
      </c>
    </row>
    <row r="1139" spans="1:38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102"/>
        <v>20-25</v>
      </c>
      <c r="AH1139" t="str">
        <f t="shared" si="103"/>
        <v>Low (0-3K)</v>
      </c>
      <c r="AI1139" t="str">
        <f t="shared" si="104"/>
        <v>3-5 yrs</v>
      </c>
      <c r="AJ1139" t="str">
        <f t="shared" si="105"/>
        <v>Good</v>
      </c>
      <c r="AK1139" t="str">
        <f t="shared" si="106"/>
        <v>Satisfied</v>
      </c>
      <c r="AL1139">
        <f t="shared" si="107"/>
        <v>33768</v>
      </c>
    </row>
    <row r="1140" spans="1:38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102"/>
        <v>46+</v>
      </c>
      <c r="AH1140" t="str">
        <f t="shared" si="103"/>
        <v>Very High (10K+)</v>
      </c>
      <c r="AI1140" t="str">
        <f t="shared" si="104"/>
        <v>10+ yrs</v>
      </c>
      <c r="AJ1140" t="str">
        <f t="shared" si="105"/>
        <v>Good</v>
      </c>
      <c r="AK1140" t="str">
        <f t="shared" si="106"/>
        <v>Satisfied</v>
      </c>
      <c r="AL1140">
        <f t="shared" si="107"/>
        <v>134940</v>
      </c>
    </row>
    <row r="1141" spans="1:38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102"/>
        <v>26-35</v>
      </c>
      <c r="AH1141" t="str">
        <f t="shared" si="103"/>
        <v>Mid (3-6K)</v>
      </c>
      <c r="AI1141" t="str">
        <f t="shared" si="104"/>
        <v>3-5 yrs</v>
      </c>
      <c r="AJ1141" t="str">
        <f t="shared" si="105"/>
        <v>Good</v>
      </c>
      <c r="AK1141" t="str">
        <f t="shared" si="106"/>
        <v>Very Satisfied</v>
      </c>
      <c r="AL1141">
        <f t="shared" si="107"/>
        <v>39744</v>
      </c>
    </row>
    <row r="1142" spans="1:38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102"/>
        <v>36-45</v>
      </c>
      <c r="AH1142" t="str">
        <f t="shared" si="103"/>
        <v>Very High (10K+)</v>
      </c>
      <c r="AI1142" t="str">
        <f t="shared" si="104"/>
        <v>10+ yrs</v>
      </c>
      <c r="AJ1142" t="str">
        <f t="shared" si="105"/>
        <v>Good</v>
      </c>
      <c r="AK1142" t="str">
        <f t="shared" si="106"/>
        <v>Very Satisfied</v>
      </c>
      <c r="AL1142">
        <f t="shared" si="107"/>
        <v>228588</v>
      </c>
    </row>
    <row r="1143" spans="1:38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102"/>
        <v>26-35</v>
      </c>
      <c r="AH1143" t="str">
        <f t="shared" si="103"/>
        <v>Low (0-3K)</v>
      </c>
      <c r="AI1143" t="str">
        <f t="shared" si="104"/>
        <v>6-10 yrs</v>
      </c>
      <c r="AJ1143" t="str">
        <f t="shared" si="105"/>
        <v>Good</v>
      </c>
      <c r="AK1143" t="str">
        <f t="shared" si="106"/>
        <v>Dissatisfied</v>
      </c>
      <c r="AL1143">
        <f t="shared" si="107"/>
        <v>25692</v>
      </c>
    </row>
    <row r="1144" spans="1:38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102"/>
        <v>36-45</v>
      </c>
      <c r="AH1144" t="str">
        <f t="shared" si="103"/>
        <v>Mid (3-6K)</v>
      </c>
      <c r="AI1144" t="str">
        <f t="shared" si="104"/>
        <v>6-10 yrs</v>
      </c>
      <c r="AJ1144" t="str">
        <f t="shared" si="105"/>
        <v>Good</v>
      </c>
      <c r="AK1144" t="str">
        <f t="shared" si="106"/>
        <v>Very Dissatisfied</v>
      </c>
      <c r="AL1144">
        <f t="shared" si="107"/>
        <v>69228</v>
      </c>
    </row>
    <row r="1145" spans="1:38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102"/>
        <v>36-45</v>
      </c>
      <c r="AH1145" t="str">
        <f t="shared" si="103"/>
        <v>Mid (3-6K)</v>
      </c>
      <c r="AI1145" t="str">
        <f t="shared" si="104"/>
        <v>6-10 yrs</v>
      </c>
      <c r="AJ1145" t="str">
        <f t="shared" si="105"/>
        <v>Good</v>
      </c>
      <c r="AK1145" t="str">
        <f t="shared" si="106"/>
        <v>Very Dissatisfied</v>
      </c>
      <c r="AL1145">
        <f t="shared" si="107"/>
        <v>52620</v>
      </c>
    </row>
    <row r="1146" spans="1:38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102"/>
        <v>26-35</v>
      </c>
      <c r="AH1146" t="str">
        <f t="shared" si="103"/>
        <v>Mid (3-6K)</v>
      </c>
      <c r="AI1146" t="str">
        <f t="shared" si="104"/>
        <v>3-5 yrs</v>
      </c>
      <c r="AJ1146" t="str">
        <f t="shared" si="105"/>
        <v>Good</v>
      </c>
      <c r="AK1146" t="str">
        <f t="shared" si="106"/>
        <v>Very Dissatisfied</v>
      </c>
      <c r="AL1146">
        <f t="shared" si="107"/>
        <v>63984</v>
      </c>
    </row>
    <row r="1147" spans="1:38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102"/>
        <v>36-45</v>
      </c>
      <c r="AH1147" t="str">
        <f t="shared" si="103"/>
        <v>Mid (3-6K)</v>
      </c>
      <c r="AI1147" t="str">
        <f t="shared" si="104"/>
        <v>3-5 yrs</v>
      </c>
      <c r="AJ1147" t="str">
        <f t="shared" si="105"/>
        <v>Good</v>
      </c>
      <c r="AK1147" t="str">
        <f t="shared" si="106"/>
        <v>Satisfied</v>
      </c>
      <c r="AL1147">
        <f t="shared" si="107"/>
        <v>55956</v>
      </c>
    </row>
    <row r="1148" spans="1:38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102"/>
        <v>26-35</v>
      </c>
      <c r="AH1148" t="str">
        <f t="shared" si="103"/>
        <v>Mid (3-6K)</v>
      </c>
      <c r="AI1148" t="str">
        <f t="shared" si="104"/>
        <v>6-10 yrs</v>
      </c>
      <c r="AJ1148" t="str">
        <f t="shared" si="105"/>
        <v>Good</v>
      </c>
      <c r="AK1148" t="str">
        <f t="shared" si="106"/>
        <v>Very Satisfied</v>
      </c>
      <c r="AL1148">
        <f t="shared" si="107"/>
        <v>56688</v>
      </c>
    </row>
    <row r="1149" spans="1:38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102"/>
        <v>46+</v>
      </c>
      <c r="AH1149" t="str">
        <f t="shared" si="103"/>
        <v>Mid (3-6K)</v>
      </c>
      <c r="AI1149" t="str">
        <f t="shared" si="104"/>
        <v>6-10 yrs</v>
      </c>
      <c r="AJ1149" t="str">
        <f t="shared" si="105"/>
        <v>Good</v>
      </c>
      <c r="AK1149" t="str">
        <f t="shared" si="106"/>
        <v>Very Dissatisfied</v>
      </c>
      <c r="AL1149">
        <f t="shared" si="107"/>
        <v>38532</v>
      </c>
    </row>
    <row r="1150" spans="1:38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102"/>
        <v>36-45</v>
      </c>
      <c r="AH1150" t="str">
        <f t="shared" si="103"/>
        <v>Mid (3-6K)</v>
      </c>
      <c r="AI1150" t="str">
        <f t="shared" si="104"/>
        <v>6-10 yrs</v>
      </c>
      <c r="AJ1150" t="str">
        <f t="shared" si="105"/>
        <v>Good</v>
      </c>
      <c r="AK1150" t="str">
        <f t="shared" si="106"/>
        <v>Very Dissatisfied</v>
      </c>
      <c r="AL1150">
        <f t="shared" si="107"/>
        <v>64524</v>
      </c>
    </row>
    <row r="1151" spans="1:38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102"/>
        <v>26-35</v>
      </c>
      <c r="AH1151" t="str">
        <f t="shared" si="103"/>
        <v>Mid (3-6K)</v>
      </c>
      <c r="AI1151" t="str">
        <f t="shared" si="104"/>
        <v>6-10 yrs</v>
      </c>
      <c r="AJ1151" t="str">
        <f t="shared" si="105"/>
        <v>Good</v>
      </c>
      <c r="AK1151" t="str">
        <f t="shared" si="106"/>
        <v>Very Dissatisfied</v>
      </c>
      <c r="AL1151">
        <f t="shared" si="107"/>
        <v>48792</v>
      </c>
    </row>
    <row r="1152" spans="1:38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102"/>
        <v>26-35</v>
      </c>
      <c r="AH1152" t="str">
        <f t="shared" si="103"/>
        <v>Mid (3-6K)</v>
      </c>
      <c r="AI1152" t="str">
        <f t="shared" si="104"/>
        <v>10+ yrs</v>
      </c>
      <c r="AJ1152" t="str">
        <f t="shared" si="105"/>
        <v>Good</v>
      </c>
      <c r="AK1152" t="str">
        <f t="shared" si="106"/>
        <v>Very Dissatisfied</v>
      </c>
      <c r="AL1152">
        <f t="shared" si="107"/>
        <v>62496</v>
      </c>
    </row>
    <row r="1153" spans="1:38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102"/>
        <v>26-35</v>
      </c>
      <c r="AH1153" t="str">
        <f t="shared" si="103"/>
        <v>Mid (3-6K)</v>
      </c>
      <c r="AI1153" t="str">
        <f t="shared" si="104"/>
        <v>3-5 yrs</v>
      </c>
      <c r="AJ1153" t="str">
        <f t="shared" si="105"/>
        <v>Excellent</v>
      </c>
      <c r="AK1153" t="str">
        <f t="shared" si="106"/>
        <v>Very Dissatisfied</v>
      </c>
      <c r="AL1153">
        <f t="shared" si="107"/>
        <v>58524</v>
      </c>
    </row>
    <row r="1154" spans="1:38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si="102"/>
        <v>20-25</v>
      </c>
      <c r="AH1154" t="str">
        <f t="shared" si="103"/>
        <v>Mid (3-6K)</v>
      </c>
      <c r="AI1154" t="str">
        <f t="shared" si="104"/>
        <v>0-2 yrs</v>
      </c>
      <c r="AJ1154" t="str">
        <f t="shared" si="105"/>
        <v>Good</v>
      </c>
      <c r="AK1154" t="str">
        <f t="shared" si="106"/>
        <v>Very Satisfied</v>
      </c>
      <c r="AL1154">
        <f t="shared" si="107"/>
        <v>37404</v>
      </c>
    </row>
    <row r="1155" spans="1:38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ref="AG1155:AG1218" si="108">IF(A1155&lt;=25,"20-25",IF(A1155&lt;=35,"26-35",IF(A1155&lt;=45,"36-45","46+")))</f>
        <v>20-25</v>
      </c>
      <c r="AH1155" t="str">
        <f t="shared" ref="AH1155:AH1218" si="109">IF(R1155&lt;=3000,"Low (0-3K)",IF(R1155&lt;=6000,"Mid (3-6K)",IF(R1155&lt;=10000,"High (6-10K)","Very High (10K+)")))</f>
        <v>Low (0-3K)</v>
      </c>
      <c r="AI1155" t="str">
        <f t="shared" ref="AI1155:AI1218" si="110">IF(AC1155&lt;=2,"0-2 yrs",IF(AC1155&lt;=5,"3-5 yrs",IF(AC1155&lt;=10,"6-10 yrs","10+ yrs")))</f>
        <v>0-2 yrs</v>
      </c>
      <c r="AJ1155" t="str">
        <f t="shared" ref="AJ1155:AJ1218" si="111">IF(W1155=4,"Excellent",IF(W1155=3,"Good",IF(W1155=2,"Needs Improvement","Poor")))</f>
        <v>Good</v>
      </c>
      <c r="AK1155" t="str">
        <f t="shared" ref="AK1155:AK1218" si="112">IF(P1155=4,"Very Satisfied",IF(P1155=3,"Satisfied",IF(P1155=2,"Dissatisfied","Very Dissatisfied")))</f>
        <v>Very Satisfied</v>
      </c>
      <c r="AL1155">
        <f t="shared" ref="AL1155:AL1218" si="113">R1155*12</f>
        <v>18828</v>
      </c>
    </row>
    <row r="1156" spans="1:38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108"/>
        <v>46+</v>
      </c>
      <c r="AH1156" t="str">
        <f t="shared" si="109"/>
        <v>Very High (10K+)</v>
      </c>
      <c r="AI1156" t="str">
        <f t="shared" si="110"/>
        <v>3-5 yrs</v>
      </c>
      <c r="AJ1156" t="str">
        <f t="shared" si="111"/>
        <v>Good</v>
      </c>
      <c r="AK1156" t="str">
        <f t="shared" si="112"/>
        <v>Satisfied</v>
      </c>
      <c r="AL1156">
        <f t="shared" si="113"/>
        <v>235896</v>
      </c>
    </row>
    <row r="1157" spans="1:38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108"/>
        <v>36-45</v>
      </c>
      <c r="AH1157" t="str">
        <f t="shared" si="109"/>
        <v>Mid (3-6K)</v>
      </c>
      <c r="AI1157" t="str">
        <f t="shared" si="110"/>
        <v>6-10 yrs</v>
      </c>
      <c r="AJ1157" t="str">
        <f t="shared" si="111"/>
        <v>Good</v>
      </c>
      <c r="AK1157" t="str">
        <f t="shared" si="112"/>
        <v>Satisfied</v>
      </c>
      <c r="AL1157">
        <f t="shared" si="113"/>
        <v>36828</v>
      </c>
    </row>
    <row r="1158" spans="1:38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108"/>
        <v>36-45</v>
      </c>
      <c r="AH1158" t="str">
        <f t="shared" si="109"/>
        <v>Very High (10K+)</v>
      </c>
      <c r="AI1158" t="str">
        <f t="shared" si="110"/>
        <v>10+ yrs</v>
      </c>
      <c r="AJ1158" t="str">
        <f t="shared" si="111"/>
        <v>Good</v>
      </c>
      <c r="AK1158" t="str">
        <f t="shared" si="112"/>
        <v>Satisfied</v>
      </c>
      <c r="AL1158">
        <f t="shared" si="113"/>
        <v>125220</v>
      </c>
    </row>
    <row r="1159" spans="1:38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108"/>
        <v>26-35</v>
      </c>
      <c r="AH1159" t="str">
        <f t="shared" si="109"/>
        <v>Mid (3-6K)</v>
      </c>
      <c r="AI1159" t="str">
        <f t="shared" si="110"/>
        <v>10+ yrs</v>
      </c>
      <c r="AJ1159" t="str">
        <f t="shared" si="111"/>
        <v>Good</v>
      </c>
      <c r="AK1159" t="str">
        <f t="shared" si="112"/>
        <v>Satisfied</v>
      </c>
      <c r="AL1159">
        <f t="shared" si="113"/>
        <v>49776</v>
      </c>
    </row>
    <row r="1160" spans="1:38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108"/>
        <v>36-45</v>
      </c>
      <c r="AH1160" t="str">
        <f t="shared" si="109"/>
        <v>Mid (3-6K)</v>
      </c>
      <c r="AI1160" t="str">
        <f t="shared" si="110"/>
        <v>3-5 yrs</v>
      </c>
      <c r="AJ1160" t="str">
        <f t="shared" si="111"/>
        <v>Good</v>
      </c>
      <c r="AK1160" t="str">
        <f t="shared" si="112"/>
        <v>Satisfied</v>
      </c>
      <c r="AL1160">
        <f t="shared" si="113"/>
        <v>69216</v>
      </c>
    </row>
    <row r="1161" spans="1:38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108"/>
        <v>36-45</v>
      </c>
      <c r="AH1161" t="str">
        <f t="shared" si="109"/>
        <v>Mid (3-6K)</v>
      </c>
      <c r="AI1161" t="str">
        <f t="shared" si="110"/>
        <v>6-10 yrs</v>
      </c>
      <c r="AJ1161" t="str">
        <f t="shared" si="111"/>
        <v>Good</v>
      </c>
      <c r="AK1161" t="str">
        <f t="shared" si="112"/>
        <v>Satisfied</v>
      </c>
      <c r="AL1161">
        <f t="shared" si="113"/>
        <v>60504</v>
      </c>
    </row>
    <row r="1162" spans="1:38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108"/>
        <v>36-45</v>
      </c>
      <c r="AH1162" t="str">
        <f t="shared" si="109"/>
        <v>Mid (3-6K)</v>
      </c>
      <c r="AI1162" t="str">
        <f t="shared" si="110"/>
        <v>6-10 yrs</v>
      </c>
      <c r="AJ1162" t="str">
        <f t="shared" si="111"/>
        <v>Good</v>
      </c>
      <c r="AK1162" t="str">
        <f t="shared" si="112"/>
        <v>Very Satisfied</v>
      </c>
      <c r="AL1162">
        <f t="shared" si="113"/>
        <v>69240</v>
      </c>
    </row>
    <row r="1163" spans="1:38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108"/>
        <v>36-45</v>
      </c>
      <c r="AH1163" t="str">
        <f t="shared" si="109"/>
        <v>High (6-10K)</v>
      </c>
      <c r="AI1163" t="str">
        <f t="shared" si="110"/>
        <v>3-5 yrs</v>
      </c>
      <c r="AJ1163" t="str">
        <f t="shared" si="111"/>
        <v>Good</v>
      </c>
      <c r="AK1163" t="str">
        <f t="shared" si="112"/>
        <v>Satisfied</v>
      </c>
      <c r="AL1163">
        <f t="shared" si="113"/>
        <v>93072</v>
      </c>
    </row>
    <row r="1164" spans="1:38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108"/>
        <v>26-35</v>
      </c>
      <c r="AH1164" t="str">
        <f t="shared" si="109"/>
        <v>Very High (10K+)</v>
      </c>
      <c r="AI1164" t="str">
        <f t="shared" si="110"/>
        <v>10+ yrs</v>
      </c>
      <c r="AJ1164" t="str">
        <f t="shared" si="111"/>
        <v>Good</v>
      </c>
      <c r="AK1164" t="str">
        <f t="shared" si="112"/>
        <v>Very Dissatisfied</v>
      </c>
      <c r="AL1164">
        <f t="shared" si="113"/>
        <v>123672</v>
      </c>
    </row>
    <row r="1165" spans="1:38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108"/>
        <v>36-45</v>
      </c>
      <c r="AH1165" t="str">
        <f t="shared" si="109"/>
        <v>Mid (3-6K)</v>
      </c>
      <c r="AI1165" t="str">
        <f t="shared" si="110"/>
        <v>6-10 yrs</v>
      </c>
      <c r="AJ1165" t="str">
        <f t="shared" si="111"/>
        <v>Good</v>
      </c>
      <c r="AK1165" t="str">
        <f t="shared" si="112"/>
        <v>Dissatisfied</v>
      </c>
      <c r="AL1165">
        <f t="shared" si="113"/>
        <v>47232</v>
      </c>
    </row>
    <row r="1166" spans="1:38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108"/>
        <v>36-45</v>
      </c>
      <c r="AH1166" t="str">
        <f t="shared" si="109"/>
        <v>High (6-10K)</v>
      </c>
      <c r="AI1166" t="str">
        <f t="shared" si="110"/>
        <v>3-5 yrs</v>
      </c>
      <c r="AJ1166" t="str">
        <f t="shared" si="111"/>
        <v>Good</v>
      </c>
      <c r="AK1166" t="str">
        <f t="shared" si="112"/>
        <v>Very Satisfied</v>
      </c>
      <c r="AL1166">
        <f t="shared" si="113"/>
        <v>95340</v>
      </c>
    </row>
    <row r="1167" spans="1:38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108"/>
        <v>36-45</v>
      </c>
      <c r="AH1167" t="str">
        <f t="shared" si="109"/>
        <v>Mid (3-6K)</v>
      </c>
      <c r="AI1167" t="str">
        <f t="shared" si="110"/>
        <v>6-10 yrs</v>
      </c>
      <c r="AJ1167" t="str">
        <f t="shared" si="111"/>
        <v>Good</v>
      </c>
      <c r="AK1167" t="str">
        <f t="shared" si="112"/>
        <v>Very Satisfied</v>
      </c>
      <c r="AL1167">
        <f t="shared" si="113"/>
        <v>68916</v>
      </c>
    </row>
    <row r="1168" spans="1:38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108"/>
        <v>46+</v>
      </c>
      <c r="AH1168" t="str">
        <f t="shared" si="109"/>
        <v>Very High (10K+)</v>
      </c>
      <c r="AI1168" t="str">
        <f t="shared" si="110"/>
        <v>0-2 yrs</v>
      </c>
      <c r="AJ1168" t="str">
        <f t="shared" si="111"/>
        <v>Excellent</v>
      </c>
      <c r="AK1168" t="str">
        <f t="shared" si="112"/>
        <v>Very Satisfied</v>
      </c>
      <c r="AL1168">
        <f t="shared" si="113"/>
        <v>182424</v>
      </c>
    </row>
    <row r="1169" spans="1:38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108"/>
        <v>26-35</v>
      </c>
      <c r="AH1169" t="str">
        <f t="shared" si="109"/>
        <v>Mid (3-6K)</v>
      </c>
      <c r="AI1169" t="str">
        <f t="shared" si="110"/>
        <v>0-2 yrs</v>
      </c>
      <c r="AJ1169" t="str">
        <f t="shared" si="111"/>
        <v>Good</v>
      </c>
      <c r="AK1169" t="str">
        <f t="shared" si="112"/>
        <v>Very Satisfied</v>
      </c>
      <c r="AL1169">
        <f t="shared" si="113"/>
        <v>65280</v>
      </c>
    </row>
    <row r="1170" spans="1:38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108"/>
        <v>20-25</v>
      </c>
      <c r="AH1170" t="str">
        <f t="shared" si="109"/>
        <v>Mid (3-6K)</v>
      </c>
      <c r="AI1170" t="str">
        <f t="shared" si="110"/>
        <v>6-10 yrs</v>
      </c>
      <c r="AJ1170" t="str">
        <f t="shared" si="111"/>
        <v>Good</v>
      </c>
      <c r="AK1170" t="str">
        <f t="shared" si="112"/>
        <v>Very Satisfied</v>
      </c>
      <c r="AL1170">
        <f t="shared" si="113"/>
        <v>45120</v>
      </c>
    </row>
    <row r="1171" spans="1:38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108"/>
        <v>26-35</v>
      </c>
      <c r="AH1171" t="str">
        <f t="shared" si="109"/>
        <v>Mid (3-6K)</v>
      </c>
      <c r="AI1171" t="str">
        <f t="shared" si="110"/>
        <v>3-5 yrs</v>
      </c>
      <c r="AJ1171" t="str">
        <f t="shared" si="111"/>
        <v>Good</v>
      </c>
      <c r="AK1171" t="str">
        <f t="shared" si="112"/>
        <v>Satisfied</v>
      </c>
      <c r="AL1171">
        <f t="shared" si="113"/>
        <v>42204</v>
      </c>
    </row>
    <row r="1172" spans="1:38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108"/>
        <v>26-35</v>
      </c>
      <c r="AH1172" t="str">
        <f t="shared" si="109"/>
        <v>Low (0-3K)</v>
      </c>
      <c r="AI1172" t="str">
        <f t="shared" si="110"/>
        <v>3-5 yrs</v>
      </c>
      <c r="AJ1172" t="str">
        <f t="shared" si="111"/>
        <v>Good</v>
      </c>
      <c r="AK1172" t="str">
        <f t="shared" si="112"/>
        <v>Very Satisfied</v>
      </c>
      <c r="AL1172">
        <f t="shared" si="113"/>
        <v>30960</v>
      </c>
    </row>
    <row r="1173" spans="1:38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108"/>
        <v>36-45</v>
      </c>
      <c r="AH1173" t="str">
        <f t="shared" si="109"/>
        <v>Low (0-3K)</v>
      </c>
      <c r="AI1173" t="str">
        <f t="shared" si="110"/>
        <v>3-5 yrs</v>
      </c>
      <c r="AJ1173" t="str">
        <f t="shared" si="111"/>
        <v>Good</v>
      </c>
      <c r="AK1173" t="str">
        <f t="shared" si="112"/>
        <v>Very Dissatisfied</v>
      </c>
      <c r="AL1173">
        <f t="shared" si="113"/>
        <v>25992</v>
      </c>
    </row>
    <row r="1174" spans="1:38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108"/>
        <v>26-35</v>
      </c>
      <c r="AH1174" t="str">
        <f t="shared" si="109"/>
        <v>Mid (3-6K)</v>
      </c>
      <c r="AI1174" t="str">
        <f t="shared" si="110"/>
        <v>3-5 yrs</v>
      </c>
      <c r="AJ1174" t="str">
        <f t="shared" si="111"/>
        <v>Good</v>
      </c>
      <c r="AK1174" t="str">
        <f t="shared" si="112"/>
        <v>Satisfied</v>
      </c>
      <c r="AL1174">
        <f t="shared" si="113"/>
        <v>70428</v>
      </c>
    </row>
    <row r="1175" spans="1:38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108"/>
        <v>36-45</v>
      </c>
      <c r="AH1175" t="str">
        <f t="shared" si="109"/>
        <v>High (6-10K)</v>
      </c>
      <c r="AI1175" t="str">
        <f t="shared" si="110"/>
        <v>3-5 yrs</v>
      </c>
      <c r="AJ1175" t="str">
        <f t="shared" si="111"/>
        <v>Good</v>
      </c>
      <c r="AK1175" t="str">
        <f t="shared" si="112"/>
        <v>Very Dissatisfied</v>
      </c>
      <c r="AL1175">
        <f t="shared" si="113"/>
        <v>96096</v>
      </c>
    </row>
    <row r="1176" spans="1:38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108"/>
        <v>20-25</v>
      </c>
      <c r="AH1176" t="str">
        <f t="shared" si="109"/>
        <v>Mid (3-6K)</v>
      </c>
      <c r="AI1176" t="str">
        <f t="shared" si="110"/>
        <v>6-10 yrs</v>
      </c>
      <c r="AJ1176" t="str">
        <f t="shared" si="111"/>
        <v>Good</v>
      </c>
      <c r="AK1176" t="str">
        <f t="shared" si="112"/>
        <v>Satisfied</v>
      </c>
      <c r="AL1176">
        <f t="shared" si="113"/>
        <v>62472</v>
      </c>
    </row>
    <row r="1177" spans="1:38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108"/>
        <v>36-45</v>
      </c>
      <c r="AH1177" t="str">
        <f t="shared" si="109"/>
        <v>Mid (3-6K)</v>
      </c>
      <c r="AI1177" t="str">
        <f t="shared" si="110"/>
        <v>3-5 yrs</v>
      </c>
      <c r="AJ1177" t="str">
        <f t="shared" si="111"/>
        <v>Excellent</v>
      </c>
      <c r="AK1177" t="str">
        <f t="shared" si="112"/>
        <v>Dissatisfied</v>
      </c>
      <c r="AL1177">
        <f t="shared" si="113"/>
        <v>63540</v>
      </c>
    </row>
    <row r="1178" spans="1:38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108"/>
        <v>46+</v>
      </c>
      <c r="AH1178" t="str">
        <f t="shared" si="109"/>
        <v>Very High (10K+)</v>
      </c>
      <c r="AI1178" t="str">
        <f t="shared" si="110"/>
        <v>3-5 yrs</v>
      </c>
      <c r="AJ1178" t="str">
        <f t="shared" si="111"/>
        <v>Good</v>
      </c>
      <c r="AK1178" t="str">
        <f t="shared" si="112"/>
        <v>Dissatisfied</v>
      </c>
      <c r="AL1178">
        <f t="shared" si="113"/>
        <v>196956</v>
      </c>
    </row>
    <row r="1179" spans="1:38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108"/>
        <v>46+</v>
      </c>
      <c r="AH1179" t="str">
        <f t="shared" si="109"/>
        <v>Very High (10K+)</v>
      </c>
      <c r="AI1179" t="str">
        <f t="shared" si="110"/>
        <v>10+ yrs</v>
      </c>
      <c r="AJ1179" t="str">
        <f t="shared" si="111"/>
        <v>Good</v>
      </c>
      <c r="AK1179" t="str">
        <f t="shared" si="112"/>
        <v>Very Dissatisfied</v>
      </c>
      <c r="AL1179">
        <f t="shared" si="113"/>
        <v>159228</v>
      </c>
    </row>
    <row r="1180" spans="1:38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108"/>
        <v>20-25</v>
      </c>
      <c r="AH1180" t="str">
        <f t="shared" si="109"/>
        <v>Low (0-3K)</v>
      </c>
      <c r="AI1180" t="str">
        <f t="shared" si="110"/>
        <v>0-2 yrs</v>
      </c>
      <c r="AJ1180" t="str">
        <f t="shared" si="111"/>
        <v>Good</v>
      </c>
      <c r="AK1180" t="str">
        <f t="shared" si="112"/>
        <v>Satisfied</v>
      </c>
      <c r="AL1180">
        <f t="shared" si="113"/>
        <v>33396</v>
      </c>
    </row>
    <row r="1181" spans="1:38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108"/>
        <v>26-35</v>
      </c>
      <c r="AH1181" t="str">
        <f t="shared" si="109"/>
        <v>Mid (3-6K)</v>
      </c>
      <c r="AI1181" t="str">
        <f t="shared" si="110"/>
        <v>10+ yrs</v>
      </c>
      <c r="AJ1181" t="str">
        <f t="shared" si="111"/>
        <v>Good</v>
      </c>
      <c r="AK1181" t="str">
        <f t="shared" si="112"/>
        <v>Dissatisfied</v>
      </c>
      <c r="AL1181">
        <f t="shared" si="113"/>
        <v>65196</v>
      </c>
    </row>
    <row r="1182" spans="1:38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108"/>
        <v>36-45</v>
      </c>
      <c r="AH1182" t="str">
        <f t="shared" si="109"/>
        <v>Low (0-3K)</v>
      </c>
      <c r="AI1182" t="str">
        <f t="shared" si="110"/>
        <v>3-5 yrs</v>
      </c>
      <c r="AJ1182" t="str">
        <f t="shared" si="111"/>
        <v>Good</v>
      </c>
      <c r="AK1182" t="str">
        <f t="shared" si="112"/>
        <v>Dissatisfied</v>
      </c>
      <c r="AL1182">
        <f t="shared" si="113"/>
        <v>24156</v>
      </c>
    </row>
    <row r="1183" spans="1:38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108"/>
        <v>46+</v>
      </c>
      <c r="AH1183" t="str">
        <f t="shared" si="109"/>
        <v>Very High (10K+)</v>
      </c>
      <c r="AI1183" t="str">
        <f t="shared" si="110"/>
        <v>10+ yrs</v>
      </c>
      <c r="AJ1183" t="str">
        <f t="shared" si="111"/>
        <v>Good</v>
      </c>
      <c r="AK1183" t="str">
        <f t="shared" si="112"/>
        <v>Satisfied</v>
      </c>
      <c r="AL1183">
        <f t="shared" si="113"/>
        <v>167592</v>
      </c>
    </row>
    <row r="1184" spans="1:38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108"/>
        <v>36-45</v>
      </c>
      <c r="AH1184" t="str">
        <f t="shared" si="109"/>
        <v>Mid (3-6K)</v>
      </c>
      <c r="AI1184" t="str">
        <f t="shared" si="110"/>
        <v>3-5 yrs</v>
      </c>
      <c r="AJ1184" t="str">
        <f t="shared" si="111"/>
        <v>Good</v>
      </c>
      <c r="AK1184" t="str">
        <f t="shared" si="112"/>
        <v>Satisfied</v>
      </c>
      <c r="AL1184">
        <f t="shared" si="113"/>
        <v>52488</v>
      </c>
    </row>
    <row r="1185" spans="1:38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108"/>
        <v>36-45</v>
      </c>
      <c r="AH1185" t="str">
        <f t="shared" si="109"/>
        <v>High (6-10K)</v>
      </c>
      <c r="AI1185" t="str">
        <f t="shared" si="110"/>
        <v>3-5 yrs</v>
      </c>
      <c r="AJ1185" t="str">
        <f t="shared" si="111"/>
        <v>Excellent</v>
      </c>
      <c r="AK1185" t="str">
        <f t="shared" si="112"/>
        <v>Very Dissatisfied</v>
      </c>
      <c r="AL1185">
        <f t="shared" si="113"/>
        <v>82104</v>
      </c>
    </row>
    <row r="1186" spans="1:38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108"/>
        <v>46+</v>
      </c>
      <c r="AH1186" t="str">
        <f t="shared" si="109"/>
        <v>Very High (10K+)</v>
      </c>
      <c r="AI1186" t="str">
        <f t="shared" si="110"/>
        <v>6-10 yrs</v>
      </c>
      <c r="AJ1186" t="str">
        <f t="shared" si="111"/>
        <v>Excellent</v>
      </c>
      <c r="AK1186" t="str">
        <f t="shared" si="112"/>
        <v>Satisfied</v>
      </c>
      <c r="AL1186">
        <f t="shared" si="113"/>
        <v>209112</v>
      </c>
    </row>
    <row r="1187" spans="1:38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108"/>
        <v>36-45</v>
      </c>
      <c r="AH1187" t="str">
        <f t="shared" si="109"/>
        <v>Very High (10K+)</v>
      </c>
      <c r="AI1187" t="str">
        <f t="shared" si="110"/>
        <v>10+ yrs</v>
      </c>
      <c r="AJ1187" t="str">
        <f t="shared" si="111"/>
        <v>Excellent</v>
      </c>
      <c r="AK1187" t="str">
        <f t="shared" si="112"/>
        <v>Satisfied</v>
      </c>
      <c r="AL1187">
        <f t="shared" si="113"/>
        <v>211236</v>
      </c>
    </row>
    <row r="1188" spans="1:38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108"/>
        <v>26-35</v>
      </c>
      <c r="AH1188" t="str">
        <f t="shared" si="109"/>
        <v>Mid (3-6K)</v>
      </c>
      <c r="AI1188" t="str">
        <f t="shared" si="110"/>
        <v>10+ yrs</v>
      </c>
      <c r="AJ1188" t="str">
        <f t="shared" si="111"/>
        <v>Excellent</v>
      </c>
      <c r="AK1188" t="str">
        <f t="shared" si="112"/>
        <v>Very Satisfied</v>
      </c>
      <c r="AL1188">
        <f t="shared" si="113"/>
        <v>54972</v>
      </c>
    </row>
    <row r="1189" spans="1:38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108"/>
        <v>36-45</v>
      </c>
      <c r="AH1189" t="str">
        <f t="shared" si="109"/>
        <v>Mid (3-6K)</v>
      </c>
      <c r="AI1189" t="str">
        <f t="shared" si="110"/>
        <v>10+ yrs</v>
      </c>
      <c r="AJ1189" t="str">
        <f t="shared" si="111"/>
        <v>Good</v>
      </c>
      <c r="AK1189" t="str">
        <f t="shared" si="112"/>
        <v>Very Satisfied</v>
      </c>
      <c r="AL1189">
        <f t="shared" si="113"/>
        <v>56820</v>
      </c>
    </row>
    <row r="1190" spans="1:38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108"/>
        <v>26-35</v>
      </c>
      <c r="AH1190" t="str">
        <f t="shared" si="109"/>
        <v>Mid (3-6K)</v>
      </c>
      <c r="AI1190" t="str">
        <f t="shared" si="110"/>
        <v>6-10 yrs</v>
      </c>
      <c r="AJ1190" t="str">
        <f t="shared" si="111"/>
        <v>Good</v>
      </c>
      <c r="AK1190" t="str">
        <f t="shared" si="112"/>
        <v>Dissatisfied</v>
      </c>
      <c r="AL1190">
        <f t="shared" si="113"/>
        <v>50244</v>
      </c>
    </row>
    <row r="1191" spans="1:38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108"/>
        <v>26-35</v>
      </c>
      <c r="AH1191" t="str">
        <f t="shared" si="109"/>
        <v>Mid (3-6K)</v>
      </c>
      <c r="AI1191" t="str">
        <f t="shared" si="110"/>
        <v>6-10 yrs</v>
      </c>
      <c r="AJ1191" t="str">
        <f t="shared" si="111"/>
        <v>Good</v>
      </c>
      <c r="AK1191" t="str">
        <f t="shared" si="112"/>
        <v>Very Satisfied</v>
      </c>
      <c r="AL1191">
        <f t="shared" si="113"/>
        <v>66060</v>
      </c>
    </row>
    <row r="1192" spans="1:38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108"/>
        <v>26-35</v>
      </c>
      <c r="AH1192" t="str">
        <f t="shared" si="109"/>
        <v>Mid (3-6K)</v>
      </c>
      <c r="AI1192" t="str">
        <f t="shared" si="110"/>
        <v>6-10 yrs</v>
      </c>
      <c r="AJ1192" t="str">
        <f t="shared" si="111"/>
        <v>Good</v>
      </c>
      <c r="AK1192" t="str">
        <f t="shared" si="112"/>
        <v>Dissatisfied</v>
      </c>
      <c r="AL1192">
        <f t="shared" si="113"/>
        <v>65640</v>
      </c>
    </row>
    <row r="1193" spans="1:38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108"/>
        <v>26-35</v>
      </c>
      <c r="AH1193" t="str">
        <f t="shared" si="109"/>
        <v>Mid (3-6K)</v>
      </c>
      <c r="AI1193" t="str">
        <f t="shared" si="110"/>
        <v>6-10 yrs</v>
      </c>
      <c r="AJ1193" t="str">
        <f t="shared" si="111"/>
        <v>Good</v>
      </c>
      <c r="AK1193" t="str">
        <f t="shared" si="112"/>
        <v>Very Satisfied</v>
      </c>
      <c r="AL1193">
        <f t="shared" si="113"/>
        <v>65712</v>
      </c>
    </row>
    <row r="1194" spans="1:38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108"/>
        <v>46+</v>
      </c>
      <c r="AH1194" t="str">
        <f t="shared" si="109"/>
        <v>Low (0-3K)</v>
      </c>
      <c r="AI1194" t="str">
        <f t="shared" si="110"/>
        <v>0-2 yrs</v>
      </c>
      <c r="AJ1194" t="str">
        <f t="shared" si="111"/>
        <v>Good</v>
      </c>
      <c r="AK1194" t="str">
        <f t="shared" si="112"/>
        <v>Very Dissatisfied</v>
      </c>
      <c r="AL1194">
        <f t="shared" si="113"/>
        <v>31044</v>
      </c>
    </row>
    <row r="1195" spans="1:38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108"/>
        <v>36-45</v>
      </c>
      <c r="AH1195" t="str">
        <f t="shared" si="109"/>
        <v>Low (0-3K)</v>
      </c>
      <c r="AI1195" t="str">
        <f t="shared" si="110"/>
        <v>3-5 yrs</v>
      </c>
      <c r="AJ1195" t="str">
        <f t="shared" si="111"/>
        <v>Excellent</v>
      </c>
      <c r="AK1195" t="str">
        <f t="shared" si="112"/>
        <v>Dissatisfied</v>
      </c>
      <c r="AL1195">
        <f t="shared" si="113"/>
        <v>29280</v>
      </c>
    </row>
    <row r="1196" spans="1:38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108"/>
        <v>46+</v>
      </c>
      <c r="AH1196" t="str">
        <f t="shared" si="109"/>
        <v>Very High (10K+)</v>
      </c>
      <c r="AI1196" t="str">
        <f t="shared" si="110"/>
        <v>3-5 yrs</v>
      </c>
      <c r="AJ1196" t="str">
        <f t="shared" si="111"/>
        <v>Good</v>
      </c>
      <c r="AK1196" t="str">
        <f t="shared" si="112"/>
        <v>Dissatisfied</v>
      </c>
      <c r="AL1196">
        <f t="shared" si="113"/>
        <v>191664</v>
      </c>
    </row>
    <row r="1197" spans="1:38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108"/>
        <v>46+</v>
      </c>
      <c r="AH1197" t="str">
        <f t="shared" si="109"/>
        <v>Very High (10K+)</v>
      </c>
      <c r="AI1197" t="str">
        <f t="shared" si="110"/>
        <v>6-10 yrs</v>
      </c>
      <c r="AJ1197" t="str">
        <f t="shared" si="111"/>
        <v>Good</v>
      </c>
      <c r="AK1197" t="str">
        <f t="shared" si="112"/>
        <v>Satisfied</v>
      </c>
      <c r="AL1197">
        <f t="shared" si="113"/>
        <v>184548</v>
      </c>
    </row>
    <row r="1198" spans="1:38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108"/>
        <v>36-45</v>
      </c>
      <c r="AH1198" t="str">
        <f t="shared" si="109"/>
        <v>High (6-10K)</v>
      </c>
      <c r="AI1198" t="str">
        <f t="shared" si="110"/>
        <v>0-2 yrs</v>
      </c>
      <c r="AJ1198" t="str">
        <f t="shared" si="111"/>
        <v>Good</v>
      </c>
      <c r="AK1198" t="str">
        <f t="shared" si="112"/>
        <v>Satisfied</v>
      </c>
      <c r="AL1198">
        <f t="shared" si="113"/>
        <v>84984</v>
      </c>
    </row>
    <row r="1199" spans="1:38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108"/>
        <v>20-25</v>
      </c>
      <c r="AH1199" t="str">
        <f t="shared" si="109"/>
        <v>Low (0-3K)</v>
      </c>
      <c r="AI1199" t="str">
        <f t="shared" si="110"/>
        <v>0-2 yrs</v>
      </c>
      <c r="AJ1199" t="str">
        <f t="shared" si="111"/>
        <v>Good</v>
      </c>
      <c r="AK1199" t="str">
        <f t="shared" si="112"/>
        <v>Very Dissatisfied</v>
      </c>
      <c r="AL1199">
        <f t="shared" si="113"/>
        <v>32736</v>
      </c>
    </row>
    <row r="1200" spans="1:38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108"/>
        <v>26-35</v>
      </c>
      <c r="AH1200" t="str">
        <f t="shared" si="109"/>
        <v>Mid (3-6K)</v>
      </c>
      <c r="AI1200" t="str">
        <f t="shared" si="110"/>
        <v>6-10 yrs</v>
      </c>
      <c r="AJ1200" t="str">
        <f t="shared" si="111"/>
        <v>Excellent</v>
      </c>
      <c r="AK1200" t="str">
        <f t="shared" si="112"/>
        <v>Very Satisfied</v>
      </c>
      <c r="AL1200">
        <f t="shared" si="113"/>
        <v>64416</v>
      </c>
    </row>
    <row r="1201" spans="1:38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108"/>
        <v>36-45</v>
      </c>
      <c r="AH1201" t="str">
        <f t="shared" si="109"/>
        <v>Mid (3-6K)</v>
      </c>
      <c r="AI1201" t="str">
        <f t="shared" si="110"/>
        <v>3-5 yrs</v>
      </c>
      <c r="AJ1201" t="str">
        <f t="shared" si="111"/>
        <v>Good</v>
      </c>
      <c r="AK1201" t="str">
        <f t="shared" si="112"/>
        <v>Satisfied</v>
      </c>
      <c r="AL1201">
        <f t="shared" si="113"/>
        <v>64164</v>
      </c>
    </row>
    <row r="1202" spans="1:38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108"/>
        <v>36-45</v>
      </c>
      <c r="AH1202" t="str">
        <f t="shared" si="109"/>
        <v>Mid (3-6K)</v>
      </c>
      <c r="AI1202" t="str">
        <f t="shared" si="110"/>
        <v>0-2 yrs</v>
      </c>
      <c r="AJ1202" t="str">
        <f t="shared" si="111"/>
        <v>Good</v>
      </c>
      <c r="AK1202" t="str">
        <f t="shared" si="112"/>
        <v>Very Satisfied</v>
      </c>
      <c r="AL1202">
        <f t="shared" si="113"/>
        <v>38340</v>
      </c>
    </row>
    <row r="1203" spans="1:38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108"/>
        <v>20-25</v>
      </c>
      <c r="AH1203" t="str">
        <f t="shared" si="109"/>
        <v>Mid (3-6K)</v>
      </c>
      <c r="AI1203" t="str">
        <f t="shared" si="110"/>
        <v>3-5 yrs</v>
      </c>
      <c r="AJ1203" t="str">
        <f t="shared" si="111"/>
        <v>Good</v>
      </c>
      <c r="AK1203" t="str">
        <f t="shared" si="112"/>
        <v>Satisfied</v>
      </c>
      <c r="AL1203">
        <f t="shared" si="113"/>
        <v>47868</v>
      </c>
    </row>
    <row r="1204" spans="1:38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108"/>
        <v>36-45</v>
      </c>
      <c r="AH1204" t="str">
        <f t="shared" si="109"/>
        <v>Mid (3-6K)</v>
      </c>
      <c r="AI1204" t="str">
        <f t="shared" si="110"/>
        <v>0-2 yrs</v>
      </c>
      <c r="AJ1204" t="str">
        <f t="shared" si="111"/>
        <v>Good</v>
      </c>
      <c r="AK1204" t="str">
        <f t="shared" si="112"/>
        <v>Satisfied</v>
      </c>
      <c r="AL1204">
        <f t="shared" si="113"/>
        <v>39672</v>
      </c>
    </row>
    <row r="1205" spans="1:38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108"/>
        <v>46+</v>
      </c>
      <c r="AH1205" t="str">
        <f t="shared" si="109"/>
        <v>High (6-10K)</v>
      </c>
      <c r="AI1205" t="str">
        <f t="shared" si="110"/>
        <v>3-5 yrs</v>
      </c>
      <c r="AJ1205" t="str">
        <f t="shared" si="111"/>
        <v>Good</v>
      </c>
      <c r="AK1205" t="str">
        <f t="shared" si="112"/>
        <v>Very Satisfied</v>
      </c>
      <c r="AL1205">
        <f t="shared" si="113"/>
        <v>84060</v>
      </c>
    </row>
    <row r="1206" spans="1:38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108"/>
        <v>46+</v>
      </c>
      <c r="AH1206" t="str">
        <f t="shared" si="109"/>
        <v>Low (0-3K)</v>
      </c>
      <c r="AI1206" t="str">
        <f t="shared" si="110"/>
        <v>6-10 yrs</v>
      </c>
      <c r="AJ1206" t="str">
        <f t="shared" si="111"/>
        <v>Good</v>
      </c>
      <c r="AK1206" t="str">
        <f t="shared" si="112"/>
        <v>Satisfied</v>
      </c>
      <c r="AL1206">
        <f t="shared" si="113"/>
        <v>31860</v>
      </c>
    </row>
    <row r="1207" spans="1:38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108"/>
        <v>26-35</v>
      </c>
      <c r="AH1207" t="str">
        <f t="shared" si="109"/>
        <v>Low (0-3K)</v>
      </c>
      <c r="AI1207" t="str">
        <f t="shared" si="110"/>
        <v>0-2 yrs</v>
      </c>
      <c r="AJ1207" t="str">
        <f t="shared" si="111"/>
        <v>Good</v>
      </c>
      <c r="AK1207" t="str">
        <f t="shared" si="112"/>
        <v>Dissatisfied</v>
      </c>
      <c r="AL1207">
        <f t="shared" si="113"/>
        <v>16716</v>
      </c>
    </row>
    <row r="1208" spans="1:38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108"/>
        <v>26-35</v>
      </c>
      <c r="AH1208" t="str">
        <f t="shared" si="109"/>
        <v>Low (0-3K)</v>
      </c>
      <c r="AI1208" t="str">
        <f t="shared" si="110"/>
        <v>6-10 yrs</v>
      </c>
      <c r="AJ1208" t="str">
        <f t="shared" si="111"/>
        <v>Excellent</v>
      </c>
      <c r="AK1208" t="str">
        <f t="shared" si="112"/>
        <v>Very Satisfied</v>
      </c>
      <c r="AL1208">
        <f t="shared" si="113"/>
        <v>30840</v>
      </c>
    </row>
    <row r="1209" spans="1:38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108"/>
        <v>46+</v>
      </c>
      <c r="AH1209" t="str">
        <f t="shared" si="109"/>
        <v>Mid (3-6K)</v>
      </c>
      <c r="AI1209" t="str">
        <f t="shared" si="110"/>
        <v>3-5 yrs</v>
      </c>
      <c r="AJ1209" t="str">
        <f t="shared" si="111"/>
        <v>Good</v>
      </c>
      <c r="AK1209" t="str">
        <f t="shared" si="112"/>
        <v>Dissatisfied</v>
      </c>
      <c r="AL1209">
        <f t="shared" si="113"/>
        <v>42444</v>
      </c>
    </row>
    <row r="1210" spans="1:38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108"/>
        <v>26-35</v>
      </c>
      <c r="AH1210" t="str">
        <f t="shared" si="109"/>
        <v>Mid (3-6K)</v>
      </c>
      <c r="AI1210" t="str">
        <f t="shared" si="110"/>
        <v>10+ yrs</v>
      </c>
      <c r="AJ1210" t="str">
        <f t="shared" si="111"/>
        <v>Good</v>
      </c>
      <c r="AK1210" t="str">
        <f t="shared" si="112"/>
        <v>Very Satisfied</v>
      </c>
      <c r="AL1210">
        <f t="shared" si="113"/>
        <v>47832</v>
      </c>
    </row>
    <row r="1211" spans="1:38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108"/>
        <v>46+</v>
      </c>
      <c r="AH1211" t="str">
        <f t="shared" si="109"/>
        <v>Very High (10K+)</v>
      </c>
      <c r="AI1211" t="str">
        <f t="shared" si="110"/>
        <v>0-2 yrs</v>
      </c>
      <c r="AJ1211" t="str">
        <f t="shared" si="111"/>
        <v>Excellent</v>
      </c>
      <c r="AK1211" t="str">
        <f t="shared" si="112"/>
        <v>Very Satisfied</v>
      </c>
      <c r="AL1211">
        <f t="shared" si="113"/>
        <v>130596</v>
      </c>
    </row>
    <row r="1212" spans="1:38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108"/>
        <v>26-35</v>
      </c>
      <c r="AH1212" t="str">
        <f t="shared" si="109"/>
        <v>Low (0-3K)</v>
      </c>
      <c r="AI1212" t="str">
        <f t="shared" si="110"/>
        <v>10+ yrs</v>
      </c>
      <c r="AJ1212" t="str">
        <f t="shared" si="111"/>
        <v>Good</v>
      </c>
      <c r="AK1212" t="str">
        <f t="shared" si="112"/>
        <v>Dissatisfied</v>
      </c>
      <c r="AL1212">
        <f t="shared" si="113"/>
        <v>24336</v>
      </c>
    </row>
    <row r="1213" spans="1:38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108"/>
        <v>36-45</v>
      </c>
      <c r="AH1213" t="str">
        <f t="shared" si="109"/>
        <v>High (6-10K)</v>
      </c>
      <c r="AI1213" t="str">
        <f t="shared" si="110"/>
        <v>6-10 yrs</v>
      </c>
      <c r="AJ1213" t="str">
        <f t="shared" si="111"/>
        <v>Good</v>
      </c>
      <c r="AK1213" t="str">
        <f t="shared" si="112"/>
        <v>Very Satisfied</v>
      </c>
      <c r="AL1213">
        <f t="shared" si="113"/>
        <v>114300</v>
      </c>
    </row>
    <row r="1214" spans="1:38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108"/>
        <v>26-35</v>
      </c>
      <c r="AH1214" t="str">
        <f t="shared" si="109"/>
        <v>Low (0-3K)</v>
      </c>
      <c r="AI1214" t="str">
        <f t="shared" si="110"/>
        <v>6-10 yrs</v>
      </c>
      <c r="AJ1214" t="str">
        <f t="shared" si="111"/>
        <v>Good</v>
      </c>
      <c r="AK1214" t="str">
        <f t="shared" si="112"/>
        <v>Very Satisfied</v>
      </c>
      <c r="AL1214">
        <f t="shared" si="113"/>
        <v>35148</v>
      </c>
    </row>
    <row r="1215" spans="1:38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108"/>
        <v>20-25</v>
      </c>
      <c r="AH1215" t="str">
        <f t="shared" si="109"/>
        <v>Low (0-3K)</v>
      </c>
      <c r="AI1215" t="str">
        <f t="shared" si="110"/>
        <v>3-5 yrs</v>
      </c>
      <c r="AJ1215" t="str">
        <f t="shared" si="111"/>
        <v>Excellent</v>
      </c>
      <c r="AK1215" t="str">
        <f t="shared" si="112"/>
        <v>Very Satisfied</v>
      </c>
      <c r="AL1215">
        <f t="shared" si="113"/>
        <v>27300</v>
      </c>
    </row>
    <row r="1216" spans="1:38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108"/>
        <v>36-45</v>
      </c>
      <c r="AH1216" t="str">
        <f t="shared" si="109"/>
        <v>High (6-10K)</v>
      </c>
      <c r="AI1216" t="str">
        <f t="shared" si="110"/>
        <v>6-10 yrs</v>
      </c>
      <c r="AJ1216" t="str">
        <f t="shared" si="111"/>
        <v>Good</v>
      </c>
      <c r="AK1216" t="str">
        <f t="shared" si="112"/>
        <v>Very Satisfied</v>
      </c>
      <c r="AL1216">
        <f t="shared" si="113"/>
        <v>94548</v>
      </c>
    </row>
    <row r="1217" spans="1:38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108"/>
        <v>26-35</v>
      </c>
      <c r="AH1217" t="str">
        <f t="shared" si="109"/>
        <v>Mid (3-6K)</v>
      </c>
      <c r="AI1217" t="str">
        <f t="shared" si="110"/>
        <v>3-5 yrs</v>
      </c>
      <c r="AJ1217" t="str">
        <f t="shared" si="111"/>
        <v>Good</v>
      </c>
      <c r="AK1217" t="str">
        <f t="shared" si="112"/>
        <v>Very Satisfied</v>
      </c>
      <c r="AL1217">
        <f t="shared" si="113"/>
        <v>59160</v>
      </c>
    </row>
    <row r="1218" spans="1:38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si="108"/>
        <v>36-45</v>
      </c>
      <c r="AH1218" t="str">
        <f t="shared" si="109"/>
        <v>High (6-10K)</v>
      </c>
      <c r="AI1218" t="str">
        <f t="shared" si="110"/>
        <v>6-10 yrs</v>
      </c>
      <c r="AJ1218" t="str">
        <f t="shared" si="111"/>
        <v>Good</v>
      </c>
      <c r="AK1218" t="str">
        <f t="shared" si="112"/>
        <v>Very Satisfied</v>
      </c>
      <c r="AL1218">
        <f t="shared" si="113"/>
        <v>94164</v>
      </c>
    </row>
    <row r="1219" spans="1:38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ref="AG1219:AG1282" si="114">IF(A1219&lt;=25,"20-25",IF(A1219&lt;=35,"26-35",IF(A1219&lt;=45,"36-45","46+")))</f>
        <v>20-25</v>
      </c>
      <c r="AH1219" t="str">
        <f t="shared" ref="AH1219:AH1282" si="115">IF(R1219&lt;=3000,"Low (0-3K)",IF(R1219&lt;=6000,"Mid (3-6K)",IF(R1219&lt;=10000,"High (6-10K)","Very High (10K+)")))</f>
        <v>Mid (3-6K)</v>
      </c>
      <c r="AI1219" t="str">
        <f t="shared" ref="AI1219:AI1282" si="116">IF(AC1219&lt;=2,"0-2 yrs",IF(AC1219&lt;=5,"3-5 yrs",IF(AC1219&lt;=10,"6-10 yrs","10+ yrs")))</f>
        <v>3-5 yrs</v>
      </c>
      <c r="AJ1219" t="str">
        <f t="shared" ref="AJ1219:AJ1282" si="117">IF(W1219=4,"Excellent",IF(W1219=3,"Good",IF(W1219=2,"Needs Improvement","Poor")))</f>
        <v>Good</v>
      </c>
      <c r="AK1219" t="str">
        <f t="shared" ref="AK1219:AK1282" si="118">IF(P1219=4,"Very Satisfied",IF(P1219=3,"Satisfied",IF(P1219=2,"Dissatisfied","Very Dissatisfied")))</f>
        <v>Satisfied</v>
      </c>
      <c r="AL1219">
        <f t="shared" ref="AL1219:AL1282" si="119">R1219*12</f>
        <v>52812</v>
      </c>
    </row>
    <row r="1220" spans="1:38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114"/>
        <v>36-45</v>
      </c>
      <c r="AH1220" t="str">
        <f t="shared" si="115"/>
        <v>High (6-10K)</v>
      </c>
      <c r="AI1220" t="str">
        <f t="shared" si="116"/>
        <v>6-10 yrs</v>
      </c>
      <c r="AJ1220" t="str">
        <f t="shared" si="117"/>
        <v>Good</v>
      </c>
      <c r="AK1220" t="str">
        <f t="shared" si="118"/>
        <v>Satisfied</v>
      </c>
      <c r="AL1220">
        <f t="shared" si="119"/>
        <v>110892</v>
      </c>
    </row>
    <row r="1221" spans="1:38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114"/>
        <v>26-35</v>
      </c>
      <c r="AH1221" t="str">
        <f t="shared" si="115"/>
        <v>Low (0-3K)</v>
      </c>
      <c r="AI1221" t="str">
        <f t="shared" si="116"/>
        <v>3-5 yrs</v>
      </c>
      <c r="AJ1221" t="str">
        <f t="shared" si="117"/>
        <v>Good</v>
      </c>
      <c r="AK1221" t="str">
        <f t="shared" si="118"/>
        <v>Satisfied</v>
      </c>
      <c r="AL1221">
        <f t="shared" si="119"/>
        <v>35688</v>
      </c>
    </row>
    <row r="1222" spans="1:38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114"/>
        <v>36-45</v>
      </c>
      <c r="AH1222" t="str">
        <f t="shared" si="115"/>
        <v>Mid (3-6K)</v>
      </c>
      <c r="AI1222" t="str">
        <f t="shared" si="116"/>
        <v>10+ yrs</v>
      </c>
      <c r="AJ1222" t="str">
        <f t="shared" si="117"/>
        <v>Good</v>
      </c>
      <c r="AK1222" t="str">
        <f t="shared" si="118"/>
        <v>Very Satisfied</v>
      </c>
      <c r="AL1222">
        <f t="shared" si="119"/>
        <v>54024</v>
      </c>
    </row>
    <row r="1223" spans="1:38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114"/>
        <v>36-45</v>
      </c>
      <c r="AH1223" t="str">
        <f t="shared" si="115"/>
        <v>Very High (10K+)</v>
      </c>
      <c r="AI1223" t="str">
        <f t="shared" si="116"/>
        <v>10+ yrs</v>
      </c>
      <c r="AJ1223" t="str">
        <f t="shared" si="117"/>
        <v>Excellent</v>
      </c>
      <c r="AK1223" t="str">
        <f t="shared" si="118"/>
        <v>Satisfied</v>
      </c>
      <c r="AL1223">
        <f t="shared" si="119"/>
        <v>128976</v>
      </c>
    </row>
    <row r="1224" spans="1:38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114"/>
        <v>20-25</v>
      </c>
      <c r="AH1224" t="str">
        <f t="shared" si="115"/>
        <v>Low (0-3K)</v>
      </c>
      <c r="AI1224" t="str">
        <f t="shared" si="116"/>
        <v>0-2 yrs</v>
      </c>
      <c r="AJ1224" t="str">
        <f t="shared" si="117"/>
        <v>Good</v>
      </c>
      <c r="AK1224" t="str">
        <f t="shared" si="118"/>
        <v>Satisfied</v>
      </c>
      <c r="AL1224">
        <f t="shared" si="119"/>
        <v>18660</v>
      </c>
    </row>
    <row r="1225" spans="1:38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114"/>
        <v>46+</v>
      </c>
      <c r="AH1225" t="str">
        <f t="shared" si="115"/>
        <v>Very High (10K+)</v>
      </c>
      <c r="AI1225" t="str">
        <f t="shared" si="116"/>
        <v>10+ yrs</v>
      </c>
      <c r="AJ1225" t="str">
        <f t="shared" si="117"/>
        <v>Good</v>
      </c>
      <c r="AK1225" t="str">
        <f t="shared" si="118"/>
        <v>Satisfied</v>
      </c>
      <c r="AL1225">
        <f t="shared" si="119"/>
        <v>155232</v>
      </c>
    </row>
    <row r="1226" spans="1:38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114"/>
        <v>26-35</v>
      </c>
      <c r="AH1226" t="str">
        <f t="shared" si="115"/>
        <v>Low (0-3K)</v>
      </c>
      <c r="AI1226" t="str">
        <f t="shared" si="116"/>
        <v>3-5 yrs</v>
      </c>
      <c r="AJ1226" t="str">
        <f t="shared" si="117"/>
        <v>Good</v>
      </c>
      <c r="AK1226" t="str">
        <f t="shared" si="118"/>
        <v>Satisfied</v>
      </c>
      <c r="AL1226">
        <f t="shared" si="119"/>
        <v>27660</v>
      </c>
    </row>
    <row r="1227" spans="1:38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114"/>
        <v>36-45</v>
      </c>
      <c r="AH1227" t="str">
        <f t="shared" si="115"/>
        <v>Very High (10K+)</v>
      </c>
      <c r="AI1227" t="str">
        <f t="shared" si="116"/>
        <v>10+ yrs</v>
      </c>
      <c r="AJ1227" t="str">
        <f t="shared" si="117"/>
        <v>Good</v>
      </c>
      <c r="AK1227" t="str">
        <f t="shared" si="118"/>
        <v>Dissatisfied</v>
      </c>
      <c r="AL1227">
        <f t="shared" si="119"/>
        <v>200448</v>
      </c>
    </row>
    <row r="1228" spans="1:38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114"/>
        <v>26-35</v>
      </c>
      <c r="AH1228" t="str">
        <f t="shared" si="115"/>
        <v>Mid (3-6K)</v>
      </c>
      <c r="AI1228" t="str">
        <f t="shared" si="116"/>
        <v>3-5 yrs</v>
      </c>
      <c r="AJ1228" t="str">
        <f t="shared" si="117"/>
        <v>Good</v>
      </c>
      <c r="AK1228" t="str">
        <f t="shared" si="118"/>
        <v>Satisfied</v>
      </c>
      <c r="AL1228">
        <f t="shared" si="119"/>
        <v>41196</v>
      </c>
    </row>
    <row r="1229" spans="1:38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114"/>
        <v>26-35</v>
      </c>
      <c r="AH1229" t="str">
        <f t="shared" si="115"/>
        <v>Mid (3-6K)</v>
      </c>
      <c r="AI1229" t="str">
        <f t="shared" si="116"/>
        <v>3-5 yrs</v>
      </c>
      <c r="AJ1229" t="str">
        <f t="shared" si="117"/>
        <v>Good</v>
      </c>
      <c r="AK1229" t="str">
        <f t="shared" si="118"/>
        <v>Satisfied</v>
      </c>
      <c r="AL1229">
        <f t="shared" si="119"/>
        <v>41724</v>
      </c>
    </row>
    <row r="1230" spans="1:38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114"/>
        <v>36-45</v>
      </c>
      <c r="AH1230" t="str">
        <f t="shared" si="115"/>
        <v>High (6-10K)</v>
      </c>
      <c r="AI1230" t="str">
        <f t="shared" si="116"/>
        <v>3-5 yrs</v>
      </c>
      <c r="AJ1230" t="str">
        <f t="shared" si="117"/>
        <v>Good</v>
      </c>
      <c r="AK1230" t="str">
        <f t="shared" si="118"/>
        <v>Dissatisfied</v>
      </c>
      <c r="AL1230">
        <f t="shared" si="119"/>
        <v>77160</v>
      </c>
    </row>
    <row r="1231" spans="1:38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114"/>
        <v>36-45</v>
      </c>
      <c r="AH1231" t="str">
        <f t="shared" si="115"/>
        <v>High (6-10K)</v>
      </c>
      <c r="AI1231" t="str">
        <f t="shared" si="116"/>
        <v>0-2 yrs</v>
      </c>
      <c r="AJ1231" t="str">
        <f t="shared" si="117"/>
        <v>Good</v>
      </c>
      <c r="AK1231" t="str">
        <f t="shared" si="118"/>
        <v>Very Dissatisfied</v>
      </c>
      <c r="AL1231">
        <f t="shared" si="119"/>
        <v>78192</v>
      </c>
    </row>
    <row r="1232" spans="1:38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114"/>
        <v>20-25</v>
      </c>
      <c r="AH1232" t="str">
        <f t="shared" si="115"/>
        <v>Mid (3-6K)</v>
      </c>
      <c r="AI1232" t="str">
        <f t="shared" si="116"/>
        <v>6-10 yrs</v>
      </c>
      <c r="AJ1232" t="str">
        <f t="shared" si="117"/>
        <v>Good</v>
      </c>
      <c r="AK1232" t="str">
        <f t="shared" si="118"/>
        <v>Very Dissatisfied</v>
      </c>
      <c r="AL1232">
        <f t="shared" si="119"/>
        <v>46884</v>
      </c>
    </row>
    <row r="1233" spans="1:38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114"/>
        <v>46+</v>
      </c>
      <c r="AH1233" t="str">
        <f t="shared" si="115"/>
        <v>Mid (3-6K)</v>
      </c>
      <c r="AI1233" t="str">
        <f t="shared" si="116"/>
        <v>6-10 yrs</v>
      </c>
      <c r="AJ1233" t="str">
        <f t="shared" si="117"/>
        <v>Good</v>
      </c>
      <c r="AK1233" t="str">
        <f t="shared" si="118"/>
        <v>Dissatisfied</v>
      </c>
      <c r="AL1233">
        <f t="shared" si="119"/>
        <v>66744</v>
      </c>
    </row>
    <row r="1234" spans="1:38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114"/>
        <v>26-35</v>
      </c>
      <c r="AH1234" t="str">
        <f t="shared" si="115"/>
        <v>High (6-10K)</v>
      </c>
      <c r="AI1234" t="str">
        <f t="shared" si="116"/>
        <v>6-10 yrs</v>
      </c>
      <c r="AJ1234" t="str">
        <f t="shared" si="117"/>
        <v>Good</v>
      </c>
      <c r="AK1234" t="str">
        <f t="shared" si="118"/>
        <v>Satisfied</v>
      </c>
      <c r="AL1234">
        <f t="shared" si="119"/>
        <v>82596</v>
      </c>
    </row>
    <row r="1235" spans="1:38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114"/>
        <v>26-35</v>
      </c>
      <c r="AH1235" t="str">
        <f t="shared" si="115"/>
        <v>Low (0-3K)</v>
      </c>
      <c r="AI1235" t="str">
        <f t="shared" si="116"/>
        <v>6-10 yrs</v>
      </c>
      <c r="AJ1235" t="str">
        <f t="shared" si="117"/>
        <v>Good</v>
      </c>
      <c r="AK1235" t="str">
        <f t="shared" si="118"/>
        <v>Very Satisfied</v>
      </c>
      <c r="AL1235">
        <f t="shared" si="119"/>
        <v>34344</v>
      </c>
    </row>
    <row r="1236" spans="1:38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114"/>
        <v>46+</v>
      </c>
      <c r="AH1236" t="str">
        <f t="shared" si="115"/>
        <v>Mid (3-6K)</v>
      </c>
      <c r="AI1236" t="str">
        <f t="shared" si="116"/>
        <v>0-2 yrs</v>
      </c>
      <c r="AJ1236" t="str">
        <f t="shared" si="117"/>
        <v>Good</v>
      </c>
      <c r="AK1236" t="str">
        <f t="shared" si="118"/>
        <v>Dissatisfied</v>
      </c>
      <c r="AL1236">
        <f t="shared" si="119"/>
        <v>59736</v>
      </c>
    </row>
    <row r="1237" spans="1:38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114"/>
        <v>46+</v>
      </c>
      <c r="AH1237" t="str">
        <f t="shared" si="115"/>
        <v>Very High (10K+)</v>
      </c>
      <c r="AI1237" t="str">
        <f t="shared" si="116"/>
        <v>6-10 yrs</v>
      </c>
      <c r="AJ1237" t="str">
        <f t="shared" si="117"/>
        <v>Good</v>
      </c>
      <c r="AK1237" t="str">
        <f t="shared" si="118"/>
        <v>Very Satisfied</v>
      </c>
      <c r="AL1237">
        <f t="shared" si="119"/>
        <v>124416</v>
      </c>
    </row>
    <row r="1238" spans="1:38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114"/>
        <v>36-45</v>
      </c>
      <c r="AH1238" t="str">
        <f t="shared" si="115"/>
        <v>High (6-10K)</v>
      </c>
      <c r="AI1238" t="str">
        <f t="shared" si="116"/>
        <v>0-2 yrs</v>
      </c>
      <c r="AJ1238" t="str">
        <f t="shared" si="117"/>
        <v>Good</v>
      </c>
      <c r="AK1238" t="str">
        <f t="shared" si="118"/>
        <v>Very Dissatisfied</v>
      </c>
      <c r="AL1238">
        <f t="shared" si="119"/>
        <v>73608</v>
      </c>
    </row>
    <row r="1239" spans="1:38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114"/>
        <v>26-35</v>
      </c>
      <c r="AH1239" t="str">
        <f t="shared" si="115"/>
        <v>High (6-10K)</v>
      </c>
      <c r="AI1239" t="str">
        <f t="shared" si="116"/>
        <v>0-2 yrs</v>
      </c>
      <c r="AJ1239" t="str">
        <f t="shared" si="117"/>
        <v>Good</v>
      </c>
      <c r="AK1239" t="str">
        <f t="shared" si="118"/>
        <v>Dissatisfied</v>
      </c>
      <c r="AL1239">
        <f t="shared" si="119"/>
        <v>80820</v>
      </c>
    </row>
    <row r="1240" spans="1:38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114"/>
        <v>20-25</v>
      </c>
      <c r="AH1240" t="str">
        <f t="shared" si="115"/>
        <v>Mid (3-6K)</v>
      </c>
      <c r="AI1240" t="str">
        <f t="shared" si="116"/>
        <v>3-5 yrs</v>
      </c>
      <c r="AJ1240" t="str">
        <f t="shared" si="117"/>
        <v>Good</v>
      </c>
      <c r="AK1240" t="str">
        <f t="shared" si="118"/>
        <v>Dissatisfied</v>
      </c>
      <c r="AL1240">
        <f t="shared" si="119"/>
        <v>39540</v>
      </c>
    </row>
    <row r="1241" spans="1:38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114"/>
        <v>26-35</v>
      </c>
      <c r="AH1241" t="str">
        <f t="shared" si="115"/>
        <v>Mid (3-6K)</v>
      </c>
      <c r="AI1241" t="str">
        <f t="shared" si="116"/>
        <v>3-5 yrs</v>
      </c>
      <c r="AJ1241" t="str">
        <f t="shared" si="117"/>
        <v>Excellent</v>
      </c>
      <c r="AK1241" t="str">
        <f t="shared" si="118"/>
        <v>Very Satisfied</v>
      </c>
      <c r="AL1241">
        <f t="shared" si="119"/>
        <v>62856</v>
      </c>
    </row>
    <row r="1242" spans="1:38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114"/>
        <v>36-45</v>
      </c>
      <c r="AH1242" t="str">
        <f t="shared" si="115"/>
        <v>High (6-10K)</v>
      </c>
      <c r="AI1242" t="str">
        <f t="shared" si="116"/>
        <v>6-10 yrs</v>
      </c>
      <c r="AJ1242" t="str">
        <f t="shared" si="117"/>
        <v>Good</v>
      </c>
      <c r="AK1242" t="str">
        <f t="shared" si="118"/>
        <v>Very Satisfied</v>
      </c>
      <c r="AL1242">
        <f t="shared" si="119"/>
        <v>77664</v>
      </c>
    </row>
    <row r="1243" spans="1:38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114"/>
        <v>26-35</v>
      </c>
      <c r="AH1243" t="str">
        <f t="shared" si="115"/>
        <v>High (6-10K)</v>
      </c>
      <c r="AI1243" t="str">
        <f t="shared" si="116"/>
        <v>3-5 yrs</v>
      </c>
      <c r="AJ1243" t="str">
        <f t="shared" si="117"/>
        <v>Good</v>
      </c>
      <c r="AK1243" t="str">
        <f t="shared" si="118"/>
        <v>Satisfied</v>
      </c>
      <c r="AL1243">
        <f t="shared" si="119"/>
        <v>115320</v>
      </c>
    </row>
    <row r="1244" spans="1:38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114"/>
        <v>36-45</v>
      </c>
      <c r="AH1244" t="str">
        <f t="shared" si="115"/>
        <v>Very High (10K+)</v>
      </c>
      <c r="AI1244" t="str">
        <f t="shared" si="116"/>
        <v>10+ yrs</v>
      </c>
      <c r="AJ1244" t="str">
        <f t="shared" si="117"/>
        <v>Good</v>
      </c>
      <c r="AK1244" t="str">
        <f t="shared" si="118"/>
        <v>Dissatisfied</v>
      </c>
      <c r="AL1244">
        <f t="shared" si="119"/>
        <v>237996</v>
      </c>
    </row>
    <row r="1245" spans="1:38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114"/>
        <v>36-45</v>
      </c>
      <c r="AH1245" t="str">
        <f t="shared" si="115"/>
        <v>High (6-10K)</v>
      </c>
      <c r="AI1245" t="str">
        <f t="shared" si="116"/>
        <v>3-5 yrs</v>
      </c>
      <c r="AJ1245" t="str">
        <f t="shared" si="117"/>
        <v>Excellent</v>
      </c>
      <c r="AK1245" t="str">
        <f t="shared" si="118"/>
        <v>Satisfied</v>
      </c>
      <c r="AL1245">
        <f t="shared" si="119"/>
        <v>117072</v>
      </c>
    </row>
    <row r="1246" spans="1:38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114"/>
        <v>26-35</v>
      </c>
      <c r="AH1246" t="str">
        <f t="shared" si="115"/>
        <v>Mid (3-6K)</v>
      </c>
      <c r="AI1246" t="str">
        <f t="shared" si="116"/>
        <v>6-10 yrs</v>
      </c>
      <c r="AJ1246" t="str">
        <f t="shared" si="117"/>
        <v>Good</v>
      </c>
      <c r="AK1246" t="str">
        <f t="shared" si="118"/>
        <v>Very Dissatisfied</v>
      </c>
      <c r="AL1246">
        <f t="shared" si="119"/>
        <v>59616</v>
      </c>
    </row>
    <row r="1247" spans="1:38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114"/>
        <v>20-25</v>
      </c>
      <c r="AH1247" t="str">
        <f t="shared" si="115"/>
        <v>Low (0-3K)</v>
      </c>
      <c r="AI1247" t="str">
        <f t="shared" si="116"/>
        <v>0-2 yrs</v>
      </c>
      <c r="AJ1247" t="str">
        <f t="shared" si="117"/>
        <v>Good</v>
      </c>
      <c r="AK1247" t="str">
        <f t="shared" si="118"/>
        <v>Very Satisfied</v>
      </c>
      <c r="AL1247">
        <f t="shared" si="119"/>
        <v>25740</v>
      </c>
    </row>
    <row r="1248" spans="1:38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114"/>
        <v>26-35</v>
      </c>
      <c r="AH1248" t="str">
        <f t="shared" si="115"/>
        <v>Low (0-3K)</v>
      </c>
      <c r="AI1248" t="str">
        <f t="shared" si="116"/>
        <v>3-5 yrs</v>
      </c>
      <c r="AJ1248" t="str">
        <f t="shared" si="117"/>
        <v>Good</v>
      </c>
      <c r="AK1248" t="str">
        <f t="shared" si="118"/>
        <v>Very Satisfied</v>
      </c>
      <c r="AL1248">
        <f t="shared" si="119"/>
        <v>26160</v>
      </c>
    </row>
    <row r="1249" spans="1:38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114"/>
        <v>26-35</v>
      </c>
      <c r="AH1249" t="str">
        <f t="shared" si="115"/>
        <v>High (6-10K)</v>
      </c>
      <c r="AI1249" t="str">
        <f t="shared" si="116"/>
        <v>3-5 yrs</v>
      </c>
      <c r="AJ1249" t="str">
        <f t="shared" si="117"/>
        <v>Good</v>
      </c>
      <c r="AK1249" t="str">
        <f t="shared" si="118"/>
        <v>Satisfied</v>
      </c>
      <c r="AL1249">
        <f t="shared" si="119"/>
        <v>100152</v>
      </c>
    </row>
    <row r="1250" spans="1:38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114"/>
        <v>26-35</v>
      </c>
      <c r="AH1250" t="str">
        <f t="shared" si="115"/>
        <v>Mid (3-6K)</v>
      </c>
      <c r="AI1250" t="str">
        <f t="shared" si="116"/>
        <v>6-10 yrs</v>
      </c>
      <c r="AJ1250" t="str">
        <f t="shared" si="117"/>
        <v>Good</v>
      </c>
      <c r="AK1250" t="str">
        <f t="shared" si="118"/>
        <v>Very Satisfied</v>
      </c>
      <c r="AL1250">
        <f t="shared" si="119"/>
        <v>41340</v>
      </c>
    </row>
    <row r="1251" spans="1:38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114"/>
        <v>26-35</v>
      </c>
      <c r="AH1251" t="str">
        <f t="shared" si="115"/>
        <v>Low (0-3K)</v>
      </c>
      <c r="AI1251" t="str">
        <f t="shared" si="116"/>
        <v>0-2 yrs</v>
      </c>
      <c r="AJ1251" t="str">
        <f t="shared" si="117"/>
        <v>Good</v>
      </c>
      <c r="AK1251" t="str">
        <f t="shared" si="118"/>
        <v>Dissatisfied</v>
      </c>
      <c r="AL1251">
        <f t="shared" si="119"/>
        <v>33120</v>
      </c>
    </row>
    <row r="1252" spans="1:38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114"/>
        <v>26-35</v>
      </c>
      <c r="AH1252" t="str">
        <f t="shared" si="115"/>
        <v>High (6-10K)</v>
      </c>
      <c r="AI1252" t="str">
        <f t="shared" si="116"/>
        <v>3-5 yrs</v>
      </c>
      <c r="AJ1252" t="str">
        <f t="shared" si="117"/>
        <v>Good</v>
      </c>
      <c r="AK1252" t="str">
        <f t="shared" si="118"/>
        <v>Satisfied</v>
      </c>
      <c r="AL1252">
        <f t="shared" si="119"/>
        <v>75528</v>
      </c>
    </row>
    <row r="1253" spans="1:38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114"/>
        <v>26-35</v>
      </c>
      <c r="AH1253" t="str">
        <f t="shared" si="115"/>
        <v>High (6-10K)</v>
      </c>
      <c r="AI1253" t="str">
        <f t="shared" si="116"/>
        <v>6-10 yrs</v>
      </c>
      <c r="AJ1253" t="str">
        <f t="shared" si="117"/>
        <v>Good</v>
      </c>
      <c r="AK1253" t="str">
        <f t="shared" si="118"/>
        <v>Very Dissatisfied</v>
      </c>
      <c r="AL1253">
        <f t="shared" si="119"/>
        <v>85680</v>
      </c>
    </row>
    <row r="1254" spans="1:38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114"/>
        <v>26-35</v>
      </c>
      <c r="AH1254" t="str">
        <f t="shared" si="115"/>
        <v>Low (0-3K)</v>
      </c>
      <c r="AI1254" t="str">
        <f t="shared" si="116"/>
        <v>3-5 yrs</v>
      </c>
      <c r="AJ1254" t="str">
        <f t="shared" si="117"/>
        <v>Good</v>
      </c>
      <c r="AK1254" t="str">
        <f t="shared" si="118"/>
        <v>Very Satisfied</v>
      </c>
      <c r="AL1254">
        <f t="shared" si="119"/>
        <v>35184</v>
      </c>
    </row>
    <row r="1255" spans="1:38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114"/>
        <v>26-35</v>
      </c>
      <c r="AH1255" t="str">
        <f t="shared" si="115"/>
        <v>Mid (3-6K)</v>
      </c>
      <c r="AI1255" t="str">
        <f t="shared" si="116"/>
        <v>10+ yrs</v>
      </c>
      <c r="AJ1255" t="str">
        <f t="shared" si="117"/>
        <v>Good</v>
      </c>
      <c r="AK1255" t="str">
        <f t="shared" si="118"/>
        <v>Dissatisfied</v>
      </c>
      <c r="AL1255">
        <f t="shared" si="119"/>
        <v>61764</v>
      </c>
    </row>
    <row r="1256" spans="1:38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114"/>
        <v>46+</v>
      </c>
      <c r="AH1256" t="str">
        <f t="shared" si="115"/>
        <v>Mid (3-6K)</v>
      </c>
      <c r="AI1256" t="str">
        <f t="shared" si="116"/>
        <v>3-5 yrs</v>
      </c>
      <c r="AJ1256" t="str">
        <f t="shared" si="117"/>
        <v>Good</v>
      </c>
      <c r="AK1256" t="str">
        <f t="shared" si="118"/>
        <v>Very Satisfied</v>
      </c>
      <c r="AL1256">
        <f t="shared" si="119"/>
        <v>54084</v>
      </c>
    </row>
    <row r="1257" spans="1:38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114"/>
        <v>26-35</v>
      </c>
      <c r="AH1257" t="str">
        <f t="shared" si="115"/>
        <v>High (6-10K)</v>
      </c>
      <c r="AI1257" t="str">
        <f t="shared" si="116"/>
        <v>0-2 yrs</v>
      </c>
      <c r="AJ1257" t="str">
        <f t="shared" si="117"/>
        <v>Excellent</v>
      </c>
      <c r="AK1257" t="str">
        <f t="shared" si="118"/>
        <v>Very Dissatisfied</v>
      </c>
      <c r="AL1257">
        <f t="shared" si="119"/>
        <v>102768</v>
      </c>
    </row>
    <row r="1258" spans="1:38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114"/>
        <v>36-45</v>
      </c>
      <c r="AH1258" t="str">
        <f t="shared" si="115"/>
        <v>Low (0-3K)</v>
      </c>
      <c r="AI1258" t="str">
        <f t="shared" si="116"/>
        <v>6-10 yrs</v>
      </c>
      <c r="AJ1258" t="str">
        <f t="shared" si="117"/>
        <v>Good</v>
      </c>
      <c r="AK1258" t="str">
        <f t="shared" si="118"/>
        <v>Dissatisfied</v>
      </c>
      <c r="AL1258">
        <f t="shared" si="119"/>
        <v>29616</v>
      </c>
    </row>
    <row r="1259" spans="1:38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114"/>
        <v>26-35</v>
      </c>
      <c r="AH1259" t="str">
        <f t="shared" si="115"/>
        <v>High (6-10K)</v>
      </c>
      <c r="AI1259" t="str">
        <f t="shared" si="116"/>
        <v>0-2 yrs</v>
      </c>
      <c r="AJ1259" t="str">
        <f t="shared" si="117"/>
        <v>Good</v>
      </c>
      <c r="AK1259" t="str">
        <f t="shared" si="118"/>
        <v>Satisfied</v>
      </c>
      <c r="AL1259">
        <f t="shared" si="119"/>
        <v>97932</v>
      </c>
    </row>
    <row r="1260" spans="1:38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114"/>
        <v>26-35</v>
      </c>
      <c r="AH1260" t="str">
        <f t="shared" si="115"/>
        <v>Low (0-3K)</v>
      </c>
      <c r="AI1260" t="str">
        <f t="shared" si="116"/>
        <v>0-2 yrs</v>
      </c>
      <c r="AJ1260" t="str">
        <f t="shared" si="117"/>
        <v>Good</v>
      </c>
      <c r="AK1260" t="str">
        <f t="shared" si="118"/>
        <v>Very Dissatisfied</v>
      </c>
      <c r="AL1260">
        <f t="shared" si="119"/>
        <v>25308</v>
      </c>
    </row>
    <row r="1261" spans="1:38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114"/>
        <v>26-35</v>
      </c>
      <c r="AH1261" t="str">
        <f t="shared" si="115"/>
        <v>Mid (3-6K)</v>
      </c>
      <c r="AI1261" t="str">
        <f t="shared" si="116"/>
        <v>6-10 yrs</v>
      </c>
      <c r="AJ1261" t="str">
        <f t="shared" si="117"/>
        <v>Good</v>
      </c>
      <c r="AK1261" t="str">
        <f t="shared" si="118"/>
        <v>Satisfied</v>
      </c>
      <c r="AL1261">
        <f t="shared" si="119"/>
        <v>63528</v>
      </c>
    </row>
    <row r="1262" spans="1:38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114"/>
        <v>26-35</v>
      </c>
      <c r="AH1262" t="str">
        <f t="shared" si="115"/>
        <v>Low (0-3K)</v>
      </c>
      <c r="AI1262" t="str">
        <f t="shared" si="116"/>
        <v>6-10 yrs</v>
      </c>
      <c r="AJ1262" t="str">
        <f t="shared" si="117"/>
        <v>Good</v>
      </c>
      <c r="AK1262" t="str">
        <f t="shared" si="118"/>
        <v>Dissatisfied</v>
      </c>
      <c r="AL1262">
        <f t="shared" si="119"/>
        <v>32616</v>
      </c>
    </row>
    <row r="1263" spans="1:38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114"/>
        <v>36-45</v>
      </c>
      <c r="AH1263" t="str">
        <f t="shared" si="115"/>
        <v>Mid (3-6K)</v>
      </c>
      <c r="AI1263" t="str">
        <f t="shared" si="116"/>
        <v>0-2 yrs</v>
      </c>
      <c r="AJ1263" t="str">
        <f t="shared" si="117"/>
        <v>Good</v>
      </c>
      <c r="AK1263" t="str">
        <f t="shared" si="118"/>
        <v>Very Satisfied</v>
      </c>
      <c r="AL1263">
        <f t="shared" si="119"/>
        <v>69732</v>
      </c>
    </row>
    <row r="1264" spans="1:38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114"/>
        <v>36-45</v>
      </c>
      <c r="AH1264" t="str">
        <f t="shared" si="115"/>
        <v>Low (0-3K)</v>
      </c>
      <c r="AI1264" t="str">
        <f t="shared" si="116"/>
        <v>0-2 yrs</v>
      </c>
      <c r="AJ1264" t="str">
        <f t="shared" si="117"/>
        <v>Good</v>
      </c>
      <c r="AK1264" t="str">
        <f t="shared" si="118"/>
        <v>Satisfied</v>
      </c>
      <c r="AL1264">
        <f t="shared" si="119"/>
        <v>29244</v>
      </c>
    </row>
    <row r="1265" spans="1:38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114"/>
        <v>36-45</v>
      </c>
      <c r="AH1265" t="str">
        <f t="shared" si="115"/>
        <v>Low (0-3K)</v>
      </c>
      <c r="AI1265" t="str">
        <f t="shared" si="116"/>
        <v>3-5 yrs</v>
      </c>
      <c r="AJ1265" t="str">
        <f t="shared" si="117"/>
        <v>Excellent</v>
      </c>
      <c r="AK1265" t="str">
        <f t="shared" si="118"/>
        <v>Dissatisfied</v>
      </c>
      <c r="AL1265">
        <f t="shared" si="119"/>
        <v>33192</v>
      </c>
    </row>
    <row r="1266" spans="1:38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114"/>
        <v>46+</v>
      </c>
      <c r="AH1266" t="str">
        <f t="shared" si="115"/>
        <v>Very High (10K+)</v>
      </c>
      <c r="AI1266" t="str">
        <f t="shared" si="116"/>
        <v>0-2 yrs</v>
      </c>
      <c r="AJ1266" t="str">
        <f t="shared" si="117"/>
        <v>Good</v>
      </c>
      <c r="AK1266" t="str">
        <f t="shared" si="118"/>
        <v>Very Dissatisfied</v>
      </c>
      <c r="AL1266">
        <f t="shared" si="119"/>
        <v>228456</v>
      </c>
    </row>
    <row r="1267" spans="1:38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114"/>
        <v>26-35</v>
      </c>
      <c r="AH1267" t="str">
        <f t="shared" si="115"/>
        <v>Mid (3-6K)</v>
      </c>
      <c r="AI1267" t="str">
        <f t="shared" si="116"/>
        <v>6-10 yrs</v>
      </c>
      <c r="AJ1267" t="str">
        <f t="shared" si="117"/>
        <v>Good</v>
      </c>
      <c r="AK1267" t="str">
        <f t="shared" si="118"/>
        <v>Dissatisfied</v>
      </c>
      <c r="AL1267">
        <f t="shared" si="119"/>
        <v>36660</v>
      </c>
    </row>
    <row r="1268" spans="1:38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114"/>
        <v>36-45</v>
      </c>
      <c r="AH1268" t="str">
        <f t="shared" si="115"/>
        <v>Low (0-3K)</v>
      </c>
      <c r="AI1268" t="str">
        <f t="shared" si="116"/>
        <v>3-5 yrs</v>
      </c>
      <c r="AJ1268" t="str">
        <f t="shared" si="117"/>
        <v>Excellent</v>
      </c>
      <c r="AK1268" t="str">
        <f t="shared" si="118"/>
        <v>Very Dissatisfied</v>
      </c>
      <c r="AL1268">
        <f t="shared" si="119"/>
        <v>27468</v>
      </c>
    </row>
    <row r="1269" spans="1:38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114"/>
        <v>26-35</v>
      </c>
      <c r="AH1269" t="str">
        <f t="shared" si="115"/>
        <v>Mid (3-6K)</v>
      </c>
      <c r="AI1269" t="str">
        <f t="shared" si="116"/>
        <v>10+ yrs</v>
      </c>
      <c r="AJ1269" t="str">
        <f t="shared" si="117"/>
        <v>Good</v>
      </c>
      <c r="AK1269" t="str">
        <f t="shared" si="118"/>
        <v>Satisfied</v>
      </c>
      <c r="AL1269">
        <f t="shared" si="119"/>
        <v>48012</v>
      </c>
    </row>
    <row r="1270" spans="1:38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114"/>
        <v>46+</v>
      </c>
      <c r="AH1270" t="str">
        <f t="shared" si="115"/>
        <v>Very High (10K+)</v>
      </c>
      <c r="AI1270" t="str">
        <f t="shared" si="116"/>
        <v>3-5 yrs</v>
      </c>
      <c r="AJ1270" t="str">
        <f t="shared" si="117"/>
        <v>Excellent</v>
      </c>
      <c r="AK1270" t="str">
        <f t="shared" si="118"/>
        <v>Satisfied</v>
      </c>
      <c r="AL1270">
        <f t="shared" si="119"/>
        <v>155580</v>
      </c>
    </row>
    <row r="1271" spans="1:38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114"/>
        <v>36-45</v>
      </c>
      <c r="AH1271" t="str">
        <f t="shared" si="115"/>
        <v>Mid (3-6K)</v>
      </c>
      <c r="AI1271" t="str">
        <f t="shared" si="116"/>
        <v>6-10 yrs</v>
      </c>
      <c r="AJ1271" t="str">
        <f t="shared" si="117"/>
        <v>Good</v>
      </c>
      <c r="AK1271" t="str">
        <f t="shared" si="118"/>
        <v>Very Satisfied</v>
      </c>
      <c r="AL1271">
        <f t="shared" si="119"/>
        <v>42468</v>
      </c>
    </row>
    <row r="1272" spans="1:38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114"/>
        <v>26-35</v>
      </c>
      <c r="AH1272" t="str">
        <f t="shared" si="115"/>
        <v>High (6-10K)</v>
      </c>
      <c r="AI1272" t="str">
        <f t="shared" si="116"/>
        <v>0-2 yrs</v>
      </c>
      <c r="AJ1272" t="str">
        <f t="shared" si="117"/>
        <v>Good</v>
      </c>
      <c r="AK1272" t="str">
        <f t="shared" si="118"/>
        <v>Very Satisfied</v>
      </c>
      <c r="AL1272">
        <f t="shared" si="119"/>
        <v>72348</v>
      </c>
    </row>
    <row r="1273" spans="1:38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114"/>
        <v>20-25</v>
      </c>
      <c r="AH1273" t="str">
        <f t="shared" si="115"/>
        <v>Low (0-3K)</v>
      </c>
      <c r="AI1273" t="str">
        <f t="shared" si="116"/>
        <v>0-2 yrs</v>
      </c>
      <c r="AJ1273" t="str">
        <f t="shared" si="117"/>
        <v>Good</v>
      </c>
      <c r="AK1273" t="str">
        <f t="shared" si="118"/>
        <v>Dissatisfied</v>
      </c>
      <c r="AL1273">
        <f t="shared" si="119"/>
        <v>32148</v>
      </c>
    </row>
    <row r="1274" spans="1:38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114"/>
        <v>36-45</v>
      </c>
      <c r="AH1274" t="str">
        <f t="shared" si="115"/>
        <v>Mid (3-6K)</v>
      </c>
      <c r="AI1274" t="str">
        <f t="shared" si="116"/>
        <v>3-5 yrs</v>
      </c>
      <c r="AJ1274" t="str">
        <f t="shared" si="117"/>
        <v>Good</v>
      </c>
      <c r="AK1274" t="str">
        <f t="shared" si="118"/>
        <v>Satisfied</v>
      </c>
      <c r="AL1274">
        <f t="shared" si="119"/>
        <v>44424</v>
      </c>
    </row>
    <row r="1275" spans="1:38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114"/>
        <v>20-25</v>
      </c>
      <c r="AH1275" t="str">
        <f t="shared" si="115"/>
        <v>Low (0-3K)</v>
      </c>
      <c r="AI1275" t="str">
        <f t="shared" si="116"/>
        <v>0-2 yrs</v>
      </c>
      <c r="AJ1275" t="str">
        <f t="shared" si="117"/>
        <v>Good</v>
      </c>
      <c r="AK1275" t="str">
        <f t="shared" si="118"/>
        <v>Very Dissatisfied</v>
      </c>
      <c r="AL1275">
        <f t="shared" si="119"/>
        <v>28776</v>
      </c>
    </row>
    <row r="1276" spans="1:38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114"/>
        <v>26-35</v>
      </c>
      <c r="AH1276" t="str">
        <f t="shared" si="115"/>
        <v>Mid (3-6K)</v>
      </c>
      <c r="AI1276" t="str">
        <f t="shared" si="116"/>
        <v>10+ yrs</v>
      </c>
      <c r="AJ1276" t="str">
        <f t="shared" si="117"/>
        <v>Good</v>
      </c>
      <c r="AK1276" t="str">
        <f t="shared" si="118"/>
        <v>Very Satisfied</v>
      </c>
      <c r="AL1276">
        <f t="shared" si="119"/>
        <v>65616</v>
      </c>
    </row>
    <row r="1277" spans="1:38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114"/>
        <v>46+</v>
      </c>
      <c r="AH1277" t="str">
        <f t="shared" si="115"/>
        <v>Very High (10K+)</v>
      </c>
      <c r="AI1277" t="str">
        <f t="shared" si="116"/>
        <v>0-2 yrs</v>
      </c>
      <c r="AJ1277" t="str">
        <f t="shared" si="117"/>
        <v>Good</v>
      </c>
      <c r="AK1277" t="str">
        <f t="shared" si="118"/>
        <v>Satisfied</v>
      </c>
      <c r="AL1277">
        <f t="shared" si="119"/>
        <v>157392</v>
      </c>
    </row>
    <row r="1278" spans="1:38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114"/>
        <v>36-45</v>
      </c>
      <c r="AH1278" t="str">
        <f t="shared" si="115"/>
        <v>Mid (3-6K)</v>
      </c>
      <c r="AI1278" t="str">
        <f t="shared" si="116"/>
        <v>3-5 yrs</v>
      </c>
      <c r="AJ1278" t="str">
        <f t="shared" si="117"/>
        <v>Good</v>
      </c>
      <c r="AK1278" t="str">
        <f t="shared" si="118"/>
        <v>Dissatisfied</v>
      </c>
      <c r="AL1278">
        <f t="shared" si="119"/>
        <v>50268</v>
      </c>
    </row>
    <row r="1279" spans="1:38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114"/>
        <v>46+</v>
      </c>
      <c r="AH1279" t="str">
        <f t="shared" si="115"/>
        <v>Very High (10K+)</v>
      </c>
      <c r="AI1279" t="str">
        <f t="shared" si="116"/>
        <v>0-2 yrs</v>
      </c>
      <c r="AJ1279" t="str">
        <f t="shared" si="117"/>
        <v>Good</v>
      </c>
      <c r="AK1279" t="str">
        <f t="shared" si="118"/>
        <v>Very Satisfied</v>
      </c>
      <c r="AL1279">
        <f t="shared" si="119"/>
        <v>231936</v>
      </c>
    </row>
    <row r="1280" spans="1:38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114"/>
        <v>36-45</v>
      </c>
      <c r="AH1280" t="str">
        <f t="shared" si="115"/>
        <v>High (6-10K)</v>
      </c>
      <c r="AI1280" t="str">
        <f t="shared" si="116"/>
        <v>10+ yrs</v>
      </c>
      <c r="AJ1280" t="str">
        <f t="shared" si="117"/>
        <v>Good</v>
      </c>
      <c r="AK1280" t="str">
        <f t="shared" si="118"/>
        <v>Very Dissatisfied</v>
      </c>
      <c r="AL1280">
        <f t="shared" si="119"/>
        <v>99852</v>
      </c>
    </row>
    <row r="1281" spans="1:38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114"/>
        <v>36-45</v>
      </c>
      <c r="AH1281" t="str">
        <f t="shared" si="115"/>
        <v>Low (0-3K)</v>
      </c>
      <c r="AI1281" t="str">
        <f t="shared" si="116"/>
        <v>3-5 yrs</v>
      </c>
      <c r="AJ1281" t="str">
        <f t="shared" si="117"/>
        <v>Good</v>
      </c>
      <c r="AK1281" t="str">
        <f t="shared" si="118"/>
        <v>Dissatisfied</v>
      </c>
      <c r="AL1281">
        <f t="shared" si="119"/>
        <v>28104</v>
      </c>
    </row>
    <row r="1282" spans="1:38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si="114"/>
        <v>36-45</v>
      </c>
      <c r="AH1282" t="str">
        <f t="shared" si="115"/>
        <v>Mid (3-6K)</v>
      </c>
      <c r="AI1282" t="str">
        <f t="shared" si="116"/>
        <v>6-10 yrs</v>
      </c>
      <c r="AJ1282" t="str">
        <f t="shared" si="117"/>
        <v>Good</v>
      </c>
      <c r="AK1282" t="str">
        <f t="shared" si="118"/>
        <v>Dissatisfied</v>
      </c>
      <c r="AL1282">
        <f t="shared" si="119"/>
        <v>48852</v>
      </c>
    </row>
    <row r="1283" spans="1:38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ref="AG1283:AG1346" si="120">IF(A1283&lt;=25,"20-25",IF(A1283&lt;=35,"26-35",IF(A1283&lt;=45,"36-45","46+")))</f>
        <v>26-35</v>
      </c>
      <c r="AH1283" t="str">
        <f t="shared" ref="AH1283:AH1346" si="121">IF(R1283&lt;=3000,"Low (0-3K)",IF(R1283&lt;=6000,"Mid (3-6K)",IF(R1283&lt;=10000,"High (6-10K)","Very High (10K+)")))</f>
        <v>Mid (3-6K)</v>
      </c>
      <c r="AI1283" t="str">
        <f t="shared" ref="AI1283:AI1346" si="122">IF(AC1283&lt;=2,"0-2 yrs",IF(AC1283&lt;=5,"3-5 yrs",IF(AC1283&lt;=10,"6-10 yrs","10+ yrs")))</f>
        <v>6-10 yrs</v>
      </c>
      <c r="AJ1283" t="str">
        <f t="shared" ref="AJ1283:AJ1346" si="123">IF(W1283=4,"Excellent",IF(W1283=3,"Good",IF(W1283=2,"Needs Improvement","Poor")))</f>
        <v>Good</v>
      </c>
      <c r="AK1283" t="str">
        <f t="shared" ref="AK1283:AK1346" si="124">IF(P1283=4,"Very Satisfied",IF(P1283=3,"Satisfied",IF(P1283=2,"Dissatisfied","Very Dissatisfied")))</f>
        <v>Very Satisfied</v>
      </c>
      <c r="AL1283">
        <f t="shared" ref="AL1283:AL1346" si="125">R1283*12</f>
        <v>69756</v>
      </c>
    </row>
    <row r="1284" spans="1:38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120"/>
        <v>26-35</v>
      </c>
      <c r="AH1284" t="str">
        <f t="shared" si="121"/>
        <v>Mid (3-6K)</v>
      </c>
      <c r="AI1284" t="str">
        <f t="shared" si="122"/>
        <v>6-10 yrs</v>
      </c>
      <c r="AJ1284" t="str">
        <f t="shared" si="123"/>
        <v>Good</v>
      </c>
      <c r="AK1284" t="str">
        <f t="shared" si="124"/>
        <v>Very Dissatisfied</v>
      </c>
      <c r="AL1284">
        <f t="shared" si="125"/>
        <v>37716</v>
      </c>
    </row>
    <row r="1285" spans="1:38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120"/>
        <v>26-35</v>
      </c>
      <c r="AH1285" t="str">
        <f t="shared" si="121"/>
        <v>Low (0-3K)</v>
      </c>
      <c r="AI1285" t="str">
        <f t="shared" si="122"/>
        <v>3-5 yrs</v>
      </c>
      <c r="AJ1285" t="str">
        <f t="shared" si="123"/>
        <v>Good</v>
      </c>
      <c r="AK1285" t="str">
        <f t="shared" si="124"/>
        <v>Very Satisfied</v>
      </c>
      <c r="AL1285">
        <f t="shared" si="125"/>
        <v>24528</v>
      </c>
    </row>
    <row r="1286" spans="1:38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120"/>
        <v>36-45</v>
      </c>
      <c r="AH1286" t="str">
        <f t="shared" si="121"/>
        <v>Very High (10K+)</v>
      </c>
      <c r="AI1286" t="str">
        <f t="shared" si="122"/>
        <v>3-5 yrs</v>
      </c>
      <c r="AJ1286" t="str">
        <f t="shared" si="123"/>
        <v>Excellent</v>
      </c>
      <c r="AK1286" t="str">
        <f t="shared" si="124"/>
        <v>Satisfied</v>
      </c>
      <c r="AL1286">
        <f t="shared" si="125"/>
        <v>161568</v>
      </c>
    </row>
    <row r="1287" spans="1:38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120"/>
        <v>46+</v>
      </c>
      <c r="AH1287" t="str">
        <f t="shared" si="121"/>
        <v>High (6-10K)</v>
      </c>
      <c r="AI1287" t="str">
        <f t="shared" si="122"/>
        <v>0-2 yrs</v>
      </c>
      <c r="AJ1287" t="str">
        <f t="shared" si="123"/>
        <v>Good</v>
      </c>
      <c r="AK1287" t="str">
        <f t="shared" si="124"/>
        <v>Dissatisfied</v>
      </c>
      <c r="AL1287">
        <f t="shared" si="125"/>
        <v>95892</v>
      </c>
    </row>
    <row r="1288" spans="1:38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120"/>
        <v>36-45</v>
      </c>
      <c r="AH1288" t="str">
        <f t="shared" si="121"/>
        <v>Mid (3-6K)</v>
      </c>
      <c r="AI1288" t="str">
        <f t="shared" si="122"/>
        <v>3-5 yrs</v>
      </c>
      <c r="AJ1288" t="str">
        <f t="shared" si="123"/>
        <v>Good</v>
      </c>
      <c r="AK1288" t="str">
        <f t="shared" si="124"/>
        <v>Very Dissatisfied</v>
      </c>
      <c r="AL1288">
        <f t="shared" si="125"/>
        <v>40524</v>
      </c>
    </row>
    <row r="1289" spans="1:38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120"/>
        <v>36-45</v>
      </c>
      <c r="AH1289" t="str">
        <f t="shared" si="121"/>
        <v>Mid (3-6K)</v>
      </c>
      <c r="AI1289" t="str">
        <f t="shared" si="122"/>
        <v>0-2 yrs</v>
      </c>
      <c r="AJ1289" t="str">
        <f t="shared" si="123"/>
        <v>Good</v>
      </c>
      <c r="AK1289" t="str">
        <f t="shared" si="124"/>
        <v>Very Dissatisfied</v>
      </c>
      <c r="AL1289">
        <f t="shared" si="125"/>
        <v>66456</v>
      </c>
    </row>
    <row r="1290" spans="1:38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120"/>
        <v>26-35</v>
      </c>
      <c r="AH1290" t="str">
        <f t="shared" si="121"/>
        <v>Mid (3-6K)</v>
      </c>
      <c r="AI1290" t="str">
        <f t="shared" si="122"/>
        <v>6-10 yrs</v>
      </c>
      <c r="AJ1290" t="str">
        <f t="shared" si="123"/>
        <v>Good</v>
      </c>
      <c r="AK1290" t="str">
        <f t="shared" si="124"/>
        <v>Very Satisfied</v>
      </c>
      <c r="AL1290">
        <f t="shared" si="125"/>
        <v>69144</v>
      </c>
    </row>
    <row r="1291" spans="1:38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120"/>
        <v>36-45</v>
      </c>
      <c r="AH1291" t="str">
        <f t="shared" si="121"/>
        <v>Low (0-3K)</v>
      </c>
      <c r="AI1291" t="str">
        <f t="shared" si="122"/>
        <v>10+ yrs</v>
      </c>
      <c r="AJ1291" t="str">
        <f t="shared" si="123"/>
        <v>Good</v>
      </c>
      <c r="AK1291" t="str">
        <f t="shared" si="124"/>
        <v>Dissatisfied</v>
      </c>
      <c r="AL1291">
        <f t="shared" si="125"/>
        <v>31104</v>
      </c>
    </row>
    <row r="1292" spans="1:38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120"/>
        <v>26-35</v>
      </c>
      <c r="AH1292" t="str">
        <f t="shared" si="121"/>
        <v>Mid (3-6K)</v>
      </c>
      <c r="AI1292" t="str">
        <f t="shared" si="122"/>
        <v>6-10 yrs</v>
      </c>
      <c r="AJ1292" t="str">
        <f t="shared" si="123"/>
        <v>Good</v>
      </c>
      <c r="AK1292" t="str">
        <f t="shared" si="124"/>
        <v>Very Dissatisfied</v>
      </c>
      <c r="AL1292">
        <f t="shared" si="125"/>
        <v>64152</v>
      </c>
    </row>
    <row r="1293" spans="1:38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120"/>
        <v>36-45</v>
      </c>
      <c r="AH1293" t="str">
        <f t="shared" si="121"/>
        <v>Mid (3-6K)</v>
      </c>
      <c r="AI1293" t="str">
        <f t="shared" si="122"/>
        <v>6-10 yrs</v>
      </c>
      <c r="AJ1293" t="str">
        <f t="shared" si="123"/>
        <v>Good</v>
      </c>
      <c r="AK1293" t="str">
        <f t="shared" si="124"/>
        <v>Very Dissatisfied</v>
      </c>
      <c r="AL1293">
        <f t="shared" si="125"/>
        <v>50556</v>
      </c>
    </row>
    <row r="1294" spans="1:38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120"/>
        <v>36-45</v>
      </c>
      <c r="AH1294" t="str">
        <f t="shared" si="121"/>
        <v>Mid (3-6K)</v>
      </c>
      <c r="AI1294" t="str">
        <f t="shared" si="122"/>
        <v>0-2 yrs</v>
      </c>
      <c r="AJ1294" t="str">
        <f t="shared" si="123"/>
        <v>Good</v>
      </c>
      <c r="AK1294" t="str">
        <f t="shared" si="124"/>
        <v>Very Satisfied</v>
      </c>
      <c r="AL1294">
        <f t="shared" si="125"/>
        <v>49524</v>
      </c>
    </row>
    <row r="1295" spans="1:38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120"/>
        <v>36-45</v>
      </c>
      <c r="AH1295" t="str">
        <f t="shared" si="121"/>
        <v>Low (0-3K)</v>
      </c>
      <c r="AI1295" t="str">
        <f t="shared" si="122"/>
        <v>3-5 yrs</v>
      </c>
      <c r="AJ1295" t="str">
        <f t="shared" si="123"/>
        <v>Good</v>
      </c>
      <c r="AK1295" t="str">
        <f t="shared" si="124"/>
        <v>Satisfied</v>
      </c>
      <c r="AL1295">
        <f t="shared" si="125"/>
        <v>29256</v>
      </c>
    </row>
    <row r="1296" spans="1:38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120"/>
        <v>36-45</v>
      </c>
      <c r="AH1296" t="str">
        <f t="shared" si="121"/>
        <v>High (6-10K)</v>
      </c>
      <c r="AI1296" t="str">
        <f t="shared" si="122"/>
        <v>3-5 yrs</v>
      </c>
      <c r="AJ1296" t="str">
        <f t="shared" si="123"/>
        <v>Good</v>
      </c>
      <c r="AK1296" t="str">
        <f t="shared" si="124"/>
        <v>Dissatisfied</v>
      </c>
      <c r="AL1296">
        <f t="shared" si="125"/>
        <v>82440</v>
      </c>
    </row>
    <row r="1297" spans="1:38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120"/>
        <v>36-45</v>
      </c>
      <c r="AH1297" t="str">
        <f t="shared" si="121"/>
        <v>Very High (10K+)</v>
      </c>
      <c r="AI1297" t="str">
        <f t="shared" si="122"/>
        <v>10+ yrs</v>
      </c>
      <c r="AJ1297" t="str">
        <f t="shared" si="123"/>
        <v>Good</v>
      </c>
      <c r="AK1297" t="str">
        <f t="shared" si="124"/>
        <v>Satisfied</v>
      </c>
      <c r="AL1297">
        <f t="shared" si="125"/>
        <v>125364</v>
      </c>
    </row>
    <row r="1298" spans="1:38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120"/>
        <v>26-35</v>
      </c>
      <c r="AH1298" t="str">
        <f t="shared" si="121"/>
        <v>High (6-10K)</v>
      </c>
      <c r="AI1298" t="str">
        <f t="shared" si="122"/>
        <v>6-10 yrs</v>
      </c>
      <c r="AJ1298" t="str">
        <f t="shared" si="123"/>
        <v>Good</v>
      </c>
      <c r="AK1298" t="str">
        <f t="shared" si="124"/>
        <v>Satisfied</v>
      </c>
      <c r="AL1298">
        <f t="shared" si="125"/>
        <v>116004</v>
      </c>
    </row>
    <row r="1299" spans="1:38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120"/>
        <v>26-35</v>
      </c>
      <c r="AH1299" t="str">
        <f t="shared" si="121"/>
        <v>Low (0-3K)</v>
      </c>
      <c r="AI1299" t="str">
        <f t="shared" si="122"/>
        <v>3-5 yrs</v>
      </c>
      <c r="AJ1299" t="str">
        <f t="shared" si="123"/>
        <v>Good</v>
      </c>
      <c r="AK1299" t="str">
        <f t="shared" si="124"/>
        <v>Dissatisfied</v>
      </c>
      <c r="AL1299">
        <f t="shared" si="125"/>
        <v>25776</v>
      </c>
    </row>
    <row r="1300" spans="1:38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120"/>
        <v>46+</v>
      </c>
      <c r="AH1300" t="str">
        <f t="shared" si="121"/>
        <v>High (6-10K)</v>
      </c>
      <c r="AI1300" t="str">
        <f t="shared" si="122"/>
        <v>6-10 yrs</v>
      </c>
      <c r="AJ1300" t="str">
        <f t="shared" si="123"/>
        <v>Excellent</v>
      </c>
      <c r="AK1300" t="str">
        <f t="shared" si="124"/>
        <v>Dissatisfied</v>
      </c>
      <c r="AL1300">
        <f t="shared" si="125"/>
        <v>107112</v>
      </c>
    </row>
    <row r="1301" spans="1:38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120"/>
        <v>36-45</v>
      </c>
      <c r="AH1301" t="str">
        <f t="shared" si="121"/>
        <v>High (6-10K)</v>
      </c>
      <c r="AI1301" t="str">
        <f t="shared" si="122"/>
        <v>3-5 yrs</v>
      </c>
      <c r="AJ1301" t="str">
        <f t="shared" si="123"/>
        <v>Good</v>
      </c>
      <c r="AK1301" t="str">
        <f t="shared" si="124"/>
        <v>Very Satisfied</v>
      </c>
      <c r="AL1301">
        <f t="shared" si="125"/>
        <v>78156</v>
      </c>
    </row>
    <row r="1302" spans="1:38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120"/>
        <v>26-35</v>
      </c>
      <c r="AH1302" t="str">
        <f t="shared" si="121"/>
        <v>High (6-10K)</v>
      </c>
      <c r="AI1302" t="str">
        <f t="shared" si="122"/>
        <v>6-10 yrs</v>
      </c>
      <c r="AJ1302" t="str">
        <f t="shared" si="123"/>
        <v>Excellent</v>
      </c>
      <c r="AK1302" t="str">
        <f t="shared" si="124"/>
        <v>Satisfied</v>
      </c>
      <c r="AL1302">
        <f t="shared" si="125"/>
        <v>81588</v>
      </c>
    </row>
    <row r="1303" spans="1:38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120"/>
        <v>46+</v>
      </c>
      <c r="AH1303" t="str">
        <f t="shared" si="121"/>
        <v>Very High (10K+)</v>
      </c>
      <c r="AI1303" t="str">
        <f t="shared" si="122"/>
        <v>10+ yrs</v>
      </c>
      <c r="AJ1303" t="str">
        <f t="shared" si="123"/>
        <v>Excellent</v>
      </c>
      <c r="AK1303" t="str">
        <f t="shared" si="124"/>
        <v>Dissatisfied</v>
      </c>
      <c r="AL1303">
        <f t="shared" si="125"/>
        <v>195492</v>
      </c>
    </row>
    <row r="1304" spans="1:38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120"/>
        <v>26-35</v>
      </c>
      <c r="AH1304" t="str">
        <f t="shared" si="121"/>
        <v>Low (0-3K)</v>
      </c>
      <c r="AI1304" t="str">
        <f t="shared" si="122"/>
        <v>3-5 yrs</v>
      </c>
      <c r="AJ1304" t="str">
        <f t="shared" si="123"/>
        <v>Good</v>
      </c>
      <c r="AK1304" t="str">
        <f t="shared" si="124"/>
        <v>Satisfied</v>
      </c>
      <c r="AL1304">
        <f t="shared" si="125"/>
        <v>32460</v>
      </c>
    </row>
    <row r="1305" spans="1:38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120"/>
        <v>46+</v>
      </c>
      <c r="AH1305" t="str">
        <f t="shared" si="121"/>
        <v>Very High (10K+)</v>
      </c>
      <c r="AI1305" t="str">
        <f t="shared" si="122"/>
        <v>10+ yrs</v>
      </c>
      <c r="AJ1305" t="str">
        <f t="shared" si="123"/>
        <v>Good</v>
      </c>
      <c r="AK1305" t="str">
        <f t="shared" si="124"/>
        <v>Dissatisfied</v>
      </c>
      <c r="AL1305">
        <f t="shared" si="125"/>
        <v>123996</v>
      </c>
    </row>
    <row r="1306" spans="1:38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120"/>
        <v>36-45</v>
      </c>
      <c r="AH1306" t="str">
        <f t="shared" si="121"/>
        <v>Mid (3-6K)</v>
      </c>
      <c r="AI1306" t="str">
        <f t="shared" si="122"/>
        <v>6-10 yrs</v>
      </c>
      <c r="AJ1306" t="str">
        <f t="shared" si="123"/>
        <v>Good</v>
      </c>
      <c r="AK1306" t="str">
        <f t="shared" si="124"/>
        <v>Very Dissatisfied</v>
      </c>
      <c r="AL1306">
        <f t="shared" si="125"/>
        <v>53376</v>
      </c>
    </row>
    <row r="1307" spans="1:38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120"/>
        <v>46+</v>
      </c>
      <c r="AH1307" t="str">
        <f t="shared" si="121"/>
        <v>High (6-10K)</v>
      </c>
      <c r="AI1307" t="str">
        <f t="shared" si="122"/>
        <v>6-10 yrs</v>
      </c>
      <c r="AJ1307" t="str">
        <f t="shared" si="123"/>
        <v>Good</v>
      </c>
      <c r="AK1307" t="str">
        <f t="shared" si="124"/>
        <v>Very Satisfied</v>
      </c>
      <c r="AL1307">
        <f t="shared" si="125"/>
        <v>82248</v>
      </c>
    </row>
    <row r="1308" spans="1:38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120"/>
        <v>26-35</v>
      </c>
      <c r="AH1308" t="str">
        <f t="shared" si="121"/>
        <v>High (6-10K)</v>
      </c>
      <c r="AI1308" t="str">
        <f t="shared" si="122"/>
        <v>3-5 yrs</v>
      </c>
      <c r="AJ1308" t="str">
        <f t="shared" si="123"/>
        <v>Good</v>
      </c>
      <c r="AK1308" t="str">
        <f t="shared" si="124"/>
        <v>Very Dissatisfied</v>
      </c>
      <c r="AL1308">
        <f t="shared" si="125"/>
        <v>115644</v>
      </c>
    </row>
    <row r="1309" spans="1:38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120"/>
        <v>26-35</v>
      </c>
      <c r="AH1309" t="str">
        <f t="shared" si="121"/>
        <v>Mid (3-6K)</v>
      </c>
      <c r="AI1309" t="str">
        <f t="shared" si="122"/>
        <v>3-5 yrs</v>
      </c>
      <c r="AJ1309" t="str">
        <f t="shared" si="123"/>
        <v>Excellent</v>
      </c>
      <c r="AK1309" t="str">
        <f t="shared" si="124"/>
        <v>Very Dissatisfied</v>
      </c>
      <c r="AL1309">
        <f t="shared" si="125"/>
        <v>43092</v>
      </c>
    </row>
    <row r="1310" spans="1:38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120"/>
        <v>36-45</v>
      </c>
      <c r="AH1310" t="str">
        <f t="shared" si="121"/>
        <v>Mid (3-6K)</v>
      </c>
      <c r="AI1310" t="str">
        <f t="shared" si="122"/>
        <v>3-5 yrs</v>
      </c>
      <c r="AJ1310" t="str">
        <f t="shared" si="123"/>
        <v>Excellent</v>
      </c>
      <c r="AK1310" t="str">
        <f t="shared" si="124"/>
        <v>Very Satisfied</v>
      </c>
      <c r="AL1310">
        <f t="shared" si="125"/>
        <v>64860</v>
      </c>
    </row>
    <row r="1311" spans="1:38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120"/>
        <v>26-35</v>
      </c>
      <c r="AH1311" t="str">
        <f t="shared" si="121"/>
        <v>Mid (3-6K)</v>
      </c>
      <c r="AI1311" t="str">
        <f t="shared" si="122"/>
        <v>3-5 yrs</v>
      </c>
      <c r="AJ1311" t="str">
        <f t="shared" si="123"/>
        <v>Good</v>
      </c>
      <c r="AK1311" t="str">
        <f t="shared" si="124"/>
        <v>Very Satisfied</v>
      </c>
      <c r="AL1311">
        <f t="shared" si="125"/>
        <v>56208</v>
      </c>
    </row>
    <row r="1312" spans="1:38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120"/>
        <v>46+</v>
      </c>
      <c r="AH1312" t="str">
        <f t="shared" si="121"/>
        <v>Very High (10K+)</v>
      </c>
      <c r="AI1312" t="str">
        <f t="shared" si="122"/>
        <v>0-2 yrs</v>
      </c>
      <c r="AJ1312" t="str">
        <f t="shared" si="123"/>
        <v>Good</v>
      </c>
      <c r="AK1312" t="str">
        <f t="shared" si="124"/>
        <v>Satisfied</v>
      </c>
      <c r="AL1312">
        <f t="shared" si="125"/>
        <v>189444</v>
      </c>
    </row>
    <row r="1313" spans="1:38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120"/>
        <v>20-25</v>
      </c>
      <c r="AH1313" t="str">
        <f t="shared" si="121"/>
        <v>Low (0-3K)</v>
      </c>
      <c r="AI1313" t="str">
        <f t="shared" si="122"/>
        <v>0-2 yrs</v>
      </c>
      <c r="AJ1313" t="str">
        <f t="shared" si="123"/>
        <v>Good</v>
      </c>
      <c r="AK1313" t="str">
        <f t="shared" si="124"/>
        <v>Satisfied</v>
      </c>
      <c r="AL1313">
        <f t="shared" si="125"/>
        <v>18168</v>
      </c>
    </row>
    <row r="1314" spans="1:38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120"/>
        <v>26-35</v>
      </c>
      <c r="AH1314" t="str">
        <f t="shared" si="121"/>
        <v>Low (0-3K)</v>
      </c>
      <c r="AI1314" t="str">
        <f t="shared" si="122"/>
        <v>0-2 yrs</v>
      </c>
      <c r="AJ1314" t="str">
        <f t="shared" si="123"/>
        <v>Good</v>
      </c>
      <c r="AK1314" t="str">
        <f t="shared" si="124"/>
        <v>Very Dissatisfied</v>
      </c>
      <c r="AL1314">
        <f t="shared" si="125"/>
        <v>35472</v>
      </c>
    </row>
    <row r="1315" spans="1:38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120"/>
        <v>26-35</v>
      </c>
      <c r="AH1315" t="str">
        <f t="shared" si="121"/>
        <v>Low (0-3K)</v>
      </c>
      <c r="AI1315" t="str">
        <f t="shared" si="122"/>
        <v>0-2 yrs</v>
      </c>
      <c r="AJ1315" t="str">
        <f t="shared" si="123"/>
        <v>Good</v>
      </c>
      <c r="AK1315" t="str">
        <f t="shared" si="124"/>
        <v>Very Dissatisfied</v>
      </c>
      <c r="AL1315">
        <f t="shared" si="125"/>
        <v>28020</v>
      </c>
    </row>
    <row r="1316" spans="1:38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120"/>
        <v>36-45</v>
      </c>
      <c r="AH1316" t="str">
        <f t="shared" si="121"/>
        <v>Mid (3-6K)</v>
      </c>
      <c r="AI1316" t="str">
        <f t="shared" si="122"/>
        <v>6-10 yrs</v>
      </c>
      <c r="AJ1316" t="str">
        <f t="shared" si="123"/>
        <v>Excellent</v>
      </c>
      <c r="AK1316" t="str">
        <f t="shared" si="124"/>
        <v>Satisfied</v>
      </c>
      <c r="AL1316">
        <f t="shared" si="125"/>
        <v>61848</v>
      </c>
    </row>
    <row r="1317" spans="1:38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120"/>
        <v>36-45</v>
      </c>
      <c r="AH1317" t="str">
        <f t="shared" si="121"/>
        <v>High (6-10K)</v>
      </c>
      <c r="AI1317" t="str">
        <f t="shared" si="122"/>
        <v>0-2 yrs</v>
      </c>
      <c r="AJ1317" t="str">
        <f t="shared" si="123"/>
        <v>Excellent</v>
      </c>
      <c r="AK1317" t="str">
        <f t="shared" si="124"/>
        <v>Dissatisfied</v>
      </c>
      <c r="AL1317">
        <f t="shared" si="125"/>
        <v>83544</v>
      </c>
    </row>
    <row r="1318" spans="1:38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120"/>
        <v>36-45</v>
      </c>
      <c r="AH1318" t="str">
        <f t="shared" si="121"/>
        <v>Mid (3-6K)</v>
      </c>
      <c r="AI1318" t="str">
        <f t="shared" si="122"/>
        <v>6-10 yrs</v>
      </c>
      <c r="AJ1318" t="str">
        <f t="shared" si="123"/>
        <v>Excellent</v>
      </c>
      <c r="AK1318" t="str">
        <f t="shared" si="124"/>
        <v>Very Satisfied</v>
      </c>
      <c r="AL1318">
        <f t="shared" si="125"/>
        <v>68100</v>
      </c>
    </row>
    <row r="1319" spans="1:38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120"/>
        <v>26-35</v>
      </c>
      <c r="AH1319" t="str">
        <f t="shared" si="121"/>
        <v>Low (0-3K)</v>
      </c>
      <c r="AI1319" t="str">
        <f t="shared" si="122"/>
        <v>3-5 yrs</v>
      </c>
      <c r="AJ1319" t="str">
        <f t="shared" si="123"/>
        <v>Good</v>
      </c>
      <c r="AK1319" t="str">
        <f t="shared" si="124"/>
        <v>Very Satisfied</v>
      </c>
      <c r="AL1319">
        <f t="shared" si="125"/>
        <v>28548</v>
      </c>
    </row>
    <row r="1320" spans="1:38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120"/>
        <v>26-35</v>
      </c>
      <c r="AH1320" t="str">
        <f t="shared" si="121"/>
        <v>Mid (3-6K)</v>
      </c>
      <c r="AI1320" t="str">
        <f t="shared" si="122"/>
        <v>10+ yrs</v>
      </c>
      <c r="AJ1320" t="str">
        <f t="shared" si="123"/>
        <v>Good</v>
      </c>
      <c r="AK1320" t="str">
        <f t="shared" si="124"/>
        <v>Very Satisfied</v>
      </c>
      <c r="AL1320">
        <f t="shared" si="125"/>
        <v>45744</v>
      </c>
    </row>
    <row r="1321" spans="1:38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120"/>
        <v>26-35</v>
      </c>
      <c r="AH1321" t="str">
        <f t="shared" si="121"/>
        <v>Mid (3-6K)</v>
      </c>
      <c r="AI1321" t="str">
        <f t="shared" si="122"/>
        <v>0-2 yrs</v>
      </c>
      <c r="AJ1321" t="str">
        <f t="shared" si="123"/>
        <v>Good</v>
      </c>
      <c r="AK1321" t="str">
        <f t="shared" si="124"/>
        <v>Very Satisfied</v>
      </c>
      <c r="AL1321">
        <f t="shared" si="125"/>
        <v>55776</v>
      </c>
    </row>
    <row r="1322" spans="1:38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120"/>
        <v>36-45</v>
      </c>
      <c r="AH1322" t="str">
        <f t="shared" si="121"/>
        <v>Low (0-3K)</v>
      </c>
      <c r="AI1322" t="str">
        <f t="shared" si="122"/>
        <v>6-10 yrs</v>
      </c>
      <c r="AJ1322" t="str">
        <f t="shared" si="123"/>
        <v>Excellent</v>
      </c>
      <c r="AK1322" t="str">
        <f t="shared" si="124"/>
        <v>Satisfied</v>
      </c>
      <c r="AL1322">
        <f t="shared" si="125"/>
        <v>35232</v>
      </c>
    </row>
    <row r="1323" spans="1:38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120"/>
        <v>46+</v>
      </c>
      <c r="AH1323" t="str">
        <f t="shared" si="121"/>
        <v>Low (0-3K)</v>
      </c>
      <c r="AI1323" t="str">
        <f t="shared" si="122"/>
        <v>0-2 yrs</v>
      </c>
      <c r="AJ1323" t="str">
        <f t="shared" si="123"/>
        <v>Good</v>
      </c>
      <c r="AK1323" t="str">
        <f t="shared" si="124"/>
        <v>Satisfied</v>
      </c>
      <c r="AL1323">
        <f t="shared" si="125"/>
        <v>25260</v>
      </c>
    </row>
    <row r="1324" spans="1:38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120"/>
        <v>46+</v>
      </c>
      <c r="AH1324" t="str">
        <f t="shared" si="121"/>
        <v>High (6-10K)</v>
      </c>
      <c r="AI1324" t="str">
        <f t="shared" si="122"/>
        <v>6-10 yrs</v>
      </c>
      <c r="AJ1324" t="str">
        <f t="shared" si="123"/>
        <v>Good</v>
      </c>
      <c r="AK1324" t="str">
        <f t="shared" si="124"/>
        <v>Very Satisfied</v>
      </c>
      <c r="AL1324">
        <f t="shared" si="125"/>
        <v>102936</v>
      </c>
    </row>
    <row r="1325" spans="1:38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120"/>
        <v>26-35</v>
      </c>
      <c r="AH1325" t="str">
        <f t="shared" si="121"/>
        <v>Low (0-3K)</v>
      </c>
      <c r="AI1325" t="str">
        <f t="shared" si="122"/>
        <v>3-5 yrs</v>
      </c>
      <c r="AJ1325" t="str">
        <f t="shared" si="123"/>
        <v>Good</v>
      </c>
      <c r="AK1325" t="str">
        <f t="shared" si="124"/>
        <v>Very Satisfied</v>
      </c>
      <c r="AL1325">
        <f t="shared" si="125"/>
        <v>32472</v>
      </c>
    </row>
    <row r="1326" spans="1:38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120"/>
        <v>26-35</v>
      </c>
      <c r="AH1326" t="str">
        <f t="shared" si="121"/>
        <v>High (6-10K)</v>
      </c>
      <c r="AI1326" t="str">
        <f t="shared" si="122"/>
        <v>6-10 yrs</v>
      </c>
      <c r="AJ1326" t="str">
        <f t="shared" si="123"/>
        <v>Good</v>
      </c>
      <c r="AK1326" t="str">
        <f t="shared" si="124"/>
        <v>Satisfied</v>
      </c>
      <c r="AL1326">
        <f t="shared" si="125"/>
        <v>76608</v>
      </c>
    </row>
    <row r="1327" spans="1:38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120"/>
        <v>36-45</v>
      </c>
      <c r="AH1327" t="str">
        <f t="shared" si="121"/>
        <v>Mid (3-6K)</v>
      </c>
      <c r="AI1327" t="str">
        <f t="shared" si="122"/>
        <v>0-2 yrs</v>
      </c>
      <c r="AJ1327" t="str">
        <f t="shared" si="123"/>
        <v>Good</v>
      </c>
      <c r="AK1327" t="str">
        <f t="shared" si="124"/>
        <v>Satisfied</v>
      </c>
      <c r="AL1327">
        <f t="shared" si="125"/>
        <v>47616</v>
      </c>
    </row>
    <row r="1328" spans="1:38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120"/>
        <v>26-35</v>
      </c>
      <c r="AH1328" t="str">
        <f t="shared" si="121"/>
        <v>High (6-10K)</v>
      </c>
      <c r="AI1328" t="str">
        <f t="shared" si="122"/>
        <v>0-2 yrs</v>
      </c>
      <c r="AJ1328" t="str">
        <f t="shared" si="123"/>
        <v>Good</v>
      </c>
      <c r="AK1328" t="str">
        <f t="shared" si="124"/>
        <v>Dissatisfied</v>
      </c>
      <c r="AL1328">
        <f t="shared" si="125"/>
        <v>118884</v>
      </c>
    </row>
    <row r="1329" spans="1:38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120"/>
        <v>46+</v>
      </c>
      <c r="AH1329" t="str">
        <f t="shared" si="121"/>
        <v>Very High (10K+)</v>
      </c>
      <c r="AI1329" t="str">
        <f t="shared" si="122"/>
        <v>10+ yrs</v>
      </c>
      <c r="AJ1329" t="str">
        <f t="shared" si="123"/>
        <v>Good</v>
      </c>
      <c r="AK1329" t="str">
        <f t="shared" si="124"/>
        <v>Very Dissatisfied</v>
      </c>
      <c r="AL1329">
        <f t="shared" si="125"/>
        <v>158700</v>
      </c>
    </row>
    <row r="1330" spans="1:38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120"/>
        <v>26-35</v>
      </c>
      <c r="AH1330" t="str">
        <f t="shared" si="121"/>
        <v>Mid (3-6K)</v>
      </c>
      <c r="AI1330" t="str">
        <f t="shared" si="122"/>
        <v>6-10 yrs</v>
      </c>
      <c r="AJ1330" t="str">
        <f t="shared" si="123"/>
        <v>Excellent</v>
      </c>
      <c r="AK1330" t="str">
        <f t="shared" si="124"/>
        <v>Satisfied</v>
      </c>
      <c r="AL1330">
        <f t="shared" si="125"/>
        <v>42480</v>
      </c>
    </row>
    <row r="1331" spans="1:38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120"/>
        <v>26-35</v>
      </c>
      <c r="AH1331" t="str">
        <f t="shared" si="121"/>
        <v>Low (0-3K)</v>
      </c>
      <c r="AI1331" t="str">
        <f t="shared" si="122"/>
        <v>0-2 yrs</v>
      </c>
      <c r="AJ1331" t="str">
        <f t="shared" si="123"/>
        <v>Good</v>
      </c>
      <c r="AK1331" t="str">
        <f t="shared" si="124"/>
        <v>Dissatisfied</v>
      </c>
      <c r="AL1331">
        <f t="shared" si="125"/>
        <v>33648</v>
      </c>
    </row>
    <row r="1332" spans="1:38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120"/>
        <v>36-45</v>
      </c>
      <c r="AH1332" t="str">
        <f t="shared" si="121"/>
        <v>Very High (10K+)</v>
      </c>
      <c r="AI1332" t="str">
        <f t="shared" si="122"/>
        <v>10+ yrs</v>
      </c>
      <c r="AJ1332" t="str">
        <f t="shared" si="123"/>
        <v>Good</v>
      </c>
      <c r="AK1332" t="str">
        <f t="shared" si="124"/>
        <v>Satisfied</v>
      </c>
      <c r="AL1332">
        <f t="shared" si="125"/>
        <v>232704</v>
      </c>
    </row>
    <row r="1333" spans="1:38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120"/>
        <v>46+</v>
      </c>
      <c r="AH1333" t="str">
        <f t="shared" si="121"/>
        <v>Very High (10K+)</v>
      </c>
      <c r="AI1333" t="str">
        <f t="shared" si="122"/>
        <v>10+ yrs</v>
      </c>
      <c r="AJ1333" t="str">
        <f t="shared" si="123"/>
        <v>Good</v>
      </c>
      <c r="AK1333" t="str">
        <f t="shared" si="124"/>
        <v>Dissatisfied</v>
      </c>
      <c r="AL1333">
        <f t="shared" si="125"/>
        <v>235980</v>
      </c>
    </row>
    <row r="1334" spans="1:38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120"/>
        <v>26-35</v>
      </c>
      <c r="AH1334" t="str">
        <f t="shared" si="121"/>
        <v>Low (0-3K)</v>
      </c>
      <c r="AI1334" t="str">
        <f t="shared" si="122"/>
        <v>0-2 yrs</v>
      </c>
      <c r="AJ1334" t="str">
        <f t="shared" si="123"/>
        <v>Excellent</v>
      </c>
      <c r="AK1334" t="str">
        <f t="shared" si="124"/>
        <v>Very Satisfied</v>
      </c>
      <c r="AL1334">
        <f t="shared" si="125"/>
        <v>29268</v>
      </c>
    </row>
    <row r="1335" spans="1:38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120"/>
        <v>46+</v>
      </c>
      <c r="AH1335" t="str">
        <f t="shared" si="121"/>
        <v>High (6-10K)</v>
      </c>
      <c r="AI1335" t="str">
        <f t="shared" si="122"/>
        <v>6-10 yrs</v>
      </c>
      <c r="AJ1335" t="str">
        <f t="shared" si="123"/>
        <v>Excellent</v>
      </c>
      <c r="AK1335" t="str">
        <f t="shared" si="124"/>
        <v>Dissatisfied</v>
      </c>
      <c r="AL1335">
        <f t="shared" si="125"/>
        <v>87768</v>
      </c>
    </row>
    <row r="1336" spans="1:38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120"/>
        <v>26-35</v>
      </c>
      <c r="AH1336" t="str">
        <f t="shared" si="121"/>
        <v>Mid (3-6K)</v>
      </c>
      <c r="AI1336" t="str">
        <f t="shared" si="122"/>
        <v>6-10 yrs</v>
      </c>
      <c r="AJ1336" t="str">
        <f t="shared" si="123"/>
        <v>Good</v>
      </c>
      <c r="AK1336" t="str">
        <f t="shared" si="124"/>
        <v>Very Dissatisfied</v>
      </c>
      <c r="AL1336">
        <f t="shared" si="125"/>
        <v>57288</v>
      </c>
    </row>
    <row r="1337" spans="1:38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120"/>
        <v>36-45</v>
      </c>
      <c r="AH1337" t="str">
        <f t="shared" si="121"/>
        <v>Mid (3-6K)</v>
      </c>
      <c r="AI1337" t="str">
        <f t="shared" si="122"/>
        <v>0-2 yrs</v>
      </c>
      <c r="AJ1337" t="str">
        <f t="shared" si="123"/>
        <v>Good</v>
      </c>
      <c r="AK1337" t="str">
        <f t="shared" si="124"/>
        <v>Very Satisfied</v>
      </c>
      <c r="AL1337">
        <f t="shared" si="125"/>
        <v>46824</v>
      </c>
    </row>
    <row r="1338" spans="1:38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120"/>
        <v>46+</v>
      </c>
      <c r="AH1338" t="str">
        <f t="shared" si="121"/>
        <v>Low (0-3K)</v>
      </c>
      <c r="AI1338" t="str">
        <f t="shared" si="122"/>
        <v>3-5 yrs</v>
      </c>
      <c r="AJ1338" t="str">
        <f t="shared" si="123"/>
        <v>Excellent</v>
      </c>
      <c r="AK1338" t="str">
        <f t="shared" si="124"/>
        <v>Very Satisfied</v>
      </c>
      <c r="AL1338">
        <f t="shared" si="125"/>
        <v>31944</v>
      </c>
    </row>
    <row r="1339" spans="1:38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120"/>
        <v>26-35</v>
      </c>
      <c r="AH1339" t="str">
        <f t="shared" si="121"/>
        <v>Low (0-3K)</v>
      </c>
      <c r="AI1339" t="str">
        <f t="shared" si="122"/>
        <v>0-2 yrs</v>
      </c>
      <c r="AJ1339" t="str">
        <f t="shared" si="123"/>
        <v>Good</v>
      </c>
      <c r="AK1339" t="str">
        <f t="shared" si="124"/>
        <v>Dissatisfied</v>
      </c>
      <c r="AL1339">
        <f t="shared" si="125"/>
        <v>34272</v>
      </c>
    </row>
    <row r="1340" spans="1:38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120"/>
        <v>26-35</v>
      </c>
      <c r="AH1340" t="str">
        <f t="shared" si="121"/>
        <v>Low (0-3K)</v>
      </c>
      <c r="AI1340" t="str">
        <f t="shared" si="122"/>
        <v>0-2 yrs</v>
      </c>
      <c r="AJ1340" t="str">
        <f t="shared" si="123"/>
        <v>Good</v>
      </c>
      <c r="AK1340" t="str">
        <f t="shared" si="124"/>
        <v>Very Satisfied</v>
      </c>
      <c r="AL1340">
        <f t="shared" si="125"/>
        <v>12972</v>
      </c>
    </row>
    <row r="1341" spans="1:38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120"/>
        <v>20-25</v>
      </c>
      <c r="AH1341" t="str">
        <f t="shared" si="121"/>
        <v>Low (0-3K)</v>
      </c>
      <c r="AI1341" t="str">
        <f t="shared" si="122"/>
        <v>0-2 yrs</v>
      </c>
      <c r="AJ1341" t="str">
        <f t="shared" si="123"/>
        <v>Excellent</v>
      </c>
      <c r="AK1341" t="str">
        <f t="shared" si="124"/>
        <v>Dissatisfied</v>
      </c>
      <c r="AL1341">
        <f t="shared" si="125"/>
        <v>29664</v>
      </c>
    </row>
    <row r="1342" spans="1:38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120"/>
        <v>36-45</v>
      </c>
      <c r="AH1342" t="str">
        <f t="shared" si="121"/>
        <v>Mid (3-6K)</v>
      </c>
      <c r="AI1342" t="str">
        <f t="shared" si="122"/>
        <v>6-10 yrs</v>
      </c>
      <c r="AJ1342" t="str">
        <f t="shared" si="123"/>
        <v>Good</v>
      </c>
      <c r="AK1342" t="str">
        <f t="shared" si="124"/>
        <v>Satisfied</v>
      </c>
      <c r="AL1342">
        <f t="shared" si="125"/>
        <v>68076</v>
      </c>
    </row>
    <row r="1343" spans="1:38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120"/>
        <v>26-35</v>
      </c>
      <c r="AH1343" t="str">
        <f t="shared" si="121"/>
        <v>Mid (3-6K)</v>
      </c>
      <c r="AI1343" t="str">
        <f t="shared" si="122"/>
        <v>6-10 yrs</v>
      </c>
      <c r="AJ1343" t="str">
        <f t="shared" si="123"/>
        <v>Good</v>
      </c>
      <c r="AK1343" t="str">
        <f t="shared" si="124"/>
        <v>Satisfied</v>
      </c>
      <c r="AL1343">
        <f t="shared" si="125"/>
        <v>50364</v>
      </c>
    </row>
    <row r="1344" spans="1:38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120"/>
        <v>26-35</v>
      </c>
      <c r="AH1344" t="str">
        <f t="shared" si="121"/>
        <v>High (6-10K)</v>
      </c>
      <c r="AI1344" t="str">
        <f t="shared" si="122"/>
        <v>3-5 yrs</v>
      </c>
      <c r="AJ1344" t="str">
        <f t="shared" si="123"/>
        <v>Good</v>
      </c>
      <c r="AK1344" t="str">
        <f t="shared" si="124"/>
        <v>Very Satisfied</v>
      </c>
      <c r="AL1344">
        <f t="shared" si="125"/>
        <v>116556</v>
      </c>
    </row>
    <row r="1345" spans="1:38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120"/>
        <v>26-35</v>
      </c>
      <c r="AH1345" t="str">
        <f t="shared" si="121"/>
        <v>Low (0-3K)</v>
      </c>
      <c r="AI1345" t="str">
        <f t="shared" si="122"/>
        <v>3-5 yrs</v>
      </c>
      <c r="AJ1345" t="str">
        <f t="shared" si="123"/>
        <v>Good</v>
      </c>
      <c r="AK1345" t="str">
        <f t="shared" si="124"/>
        <v>Very Dissatisfied</v>
      </c>
      <c r="AL1345">
        <f t="shared" si="125"/>
        <v>24744</v>
      </c>
    </row>
    <row r="1346" spans="1:38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si="120"/>
        <v>36-45</v>
      </c>
      <c r="AH1346" t="str">
        <f t="shared" si="121"/>
        <v>Mid (3-6K)</v>
      </c>
      <c r="AI1346" t="str">
        <f t="shared" si="122"/>
        <v>3-5 yrs</v>
      </c>
      <c r="AJ1346" t="str">
        <f t="shared" si="123"/>
        <v>Excellent</v>
      </c>
      <c r="AK1346" t="str">
        <f t="shared" si="124"/>
        <v>Very Dissatisfied</v>
      </c>
      <c r="AL1346">
        <f t="shared" si="125"/>
        <v>51408</v>
      </c>
    </row>
    <row r="1347" spans="1:38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ref="AG1347:AG1410" si="126">IF(A1347&lt;=25,"20-25",IF(A1347&lt;=35,"26-35",IF(A1347&lt;=45,"36-45","46+")))</f>
        <v>26-35</v>
      </c>
      <c r="AH1347" t="str">
        <f t="shared" ref="AH1347:AH1410" si="127">IF(R1347&lt;=3000,"Low (0-3K)",IF(R1347&lt;=6000,"Mid (3-6K)",IF(R1347&lt;=10000,"High (6-10K)","Very High (10K+)")))</f>
        <v>Mid (3-6K)</v>
      </c>
      <c r="AI1347" t="str">
        <f t="shared" ref="AI1347:AI1410" si="128">IF(AC1347&lt;=2,"0-2 yrs",IF(AC1347&lt;=5,"3-5 yrs",IF(AC1347&lt;=10,"6-10 yrs","10+ yrs")))</f>
        <v>3-5 yrs</v>
      </c>
      <c r="AJ1347" t="str">
        <f t="shared" ref="AJ1347:AJ1410" si="129">IF(W1347=4,"Excellent",IF(W1347=3,"Good",IF(W1347=2,"Needs Improvement","Poor")))</f>
        <v>Good</v>
      </c>
      <c r="AK1347" t="str">
        <f t="shared" ref="AK1347:AK1410" si="130">IF(P1347=4,"Very Satisfied",IF(P1347=3,"Satisfied",IF(P1347=2,"Dissatisfied","Very Dissatisfied")))</f>
        <v>Dissatisfied</v>
      </c>
      <c r="AL1347">
        <f t="shared" ref="AL1347:AL1410" si="131">R1347*12</f>
        <v>57456</v>
      </c>
    </row>
    <row r="1348" spans="1:38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126"/>
        <v>36-45</v>
      </c>
      <c r="AH1348" t="str">
        <f t="shared" si="127"/>
        <v>Mid (3-6K)</v>
      </c>
      <c r="AI1348" t="str">
        <f t="shared" si="128"/>
        <v>6-10 yrs</v>
      </c>
      <c r="AJ1348" t="str">
        <f t="shared" si="129"/>
        <v>Good</v>
      </c>
      <c r="AK1348" t="str">
        <f t="shared" si="130"/>
        <v>Very Satisfied</v>
      </c>
      <c r="AL1348">
        <f t="shared" si="131"/>
        <v>70872</v>
      </c>
    </row>
    <row r="1349" spans="1:38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126"/>
        <v>36-45</v>
      </c>
      <c r="AH1349" t="str">
        <f t="shared" si="127"/>
        <v>Mid (3-6K)</v>
      </c>
      <c r="AI1349" t="str">
        <f t="shared" si="128"/>
        <v>6-10 yrs</v>
      </c>
      <c r="AJ1349" t="str">
        <f t="shared" si="129"/>
        <v>Excellent</v>
      </c>
      <c r="AK1349" t="str">
        <f t="shared" si="130"/>
        <v>Very Satisfied</v>
      </c>
      <c r="AL1349">
        <f t="shared" si="131"/>
        <v>46632</v>
      </c>
    </row>
    <row r="1350" spans="1:38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126"/>
        <v>36-45</v>
      </c>
      <c r="AH1350" t="str">
        <f t="shared" si="127"/>
        <v>Very High (10K+)</v>
      </c>
      <c r="AI1350" t="str">
        <f t="shared" si="128"/>
        <v>10+ yrs</v>
      </c>
      <c r="AJ1350" t="str">
        <f t="shared" si="129"/>
        <v>Good</v>
      </c>
      <c r="AK1350" t="str">
        <f t="shared" si="130"/>
        <v>Very Dissatisfied</v>
      </c>
      <c r="AL1350">
        <f t="shared" si="131"/>
        <v>201876</v>
      </c>
    </row>
    <row r="1351" spans="1:38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126"/>
        <v>26-35</v>
      </c>
      <c r="AH1351" t="str">
        <f t="shared" si="127"/>
        <v>Low (0-3K)</v>
      </c>
      <c r="AI1351" t="str">
        <f t="shared" si="128"/>
        <v>0-2 yrs</v>
      </c>
      <c r="AJ1351" t="str">
        <f t="shared" si="129"/>
        <v>Good</v>
      </c>
      <c r="AK1351" t="str">
        <f t="shared" si="130"/>
        <v>Satisfied</v>
      </c>
      <c r="AL1351">
        <f t="shared" si="131"/>
        <v>35196</v>
      </c>
    </row>
    <row r="1352" spans="1:38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126"/>
        <v>26-35</v>
      </c>
      <c r="AH1352" t="str">
        <f t="shared" si="127"/>
        <v>High (6-10K)</v>
      </c>
      <c r="AI1352" t="str">
        <f t="shared" si="128"/>
        <v>6-10 yrs</v>
      </c>
      <c r="AJ1352" t="str">
        <f t="shared" si="129"/>
        <v>Good</v>
      </c>
      <c r="AK1352" t="str">
        <f t="shared" si="130"/>
        <v>Satisfied</v>
      </c>
      <c r="AL1352">
        <f t="shared" si="131"/>
        <v>78000</v>
      </c>
    </row>
    <row r="1353" spans="1:38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126"/>
        <v>46+</v>
      </c>
      <c r="AH1353" t="str">
        <f t="shared" si="127"/>
        <v>Very High (10K+)</v>
      </c>
      <c r="AI1353" t="str">
        <f t="shared" si="128"/>
        <v>10+ yrs</v>
      </c>
      <c r="AJ1353" t="str">
        <f t="shared" si="129"/>
        <v>Good</v>
      </c>
      <c r="AK1353" t="str">
        <f t="shared" si="130"/>
        <v>Very Satisfied</v>
      </c>
      <c r="AL1353">
        <f t="shared" si="131"/>
        <v>206088</v>
      </c>
    </row>
    <row r="1354" spans="1:38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126"/>
        <v>36-45</v>
      </c>
      <c r="AH1354" t="str">
        <f t="shared" si="127"/>
        <v>Mid (3-6K)</v>
      </c>
      <c r="AI1354" t="str">
        <f t="shared" si="128"/>
        <v>0-2 yrs</v>
      </c>
      <c r="AJ1354" t="str">
        <f t="shared" si="129"/>
        <v>Good</v>
      </c>
      <c r="AK1354" t="str">
        <f t="shared" si="130"/>
        <v>Very Dissatisfied</v>
      </c>
      <c r="AL1354">
        <f t="shared" si="131"/>
        <v>60396</v>
      </c>
    </row>
    <row r="1355" spans="1:38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126"/>
        <v>26-35</v>
      </c>
      <c r="AH1355" t="str">
        <f t="shared" si="127"/>
        <v>Low (0-3K)</v>
      </c>
      <c r="AI1355" t="str">
        <f t="shared" si="128"/>
        <v>3-5 yrs</v>
      </c>
      <c r="AJ1355" t="str">
        <f t="shared" si="129"/>
        <v>Excellent</v>
      </c>
      <c r="AK1355" t="str">
        <f t="shared" si="130"/>
        <v>Very Dissatisfied</v>
      </c>
      <c r="AL1355">
        <f t="shared" si="131"/>
        <v>27684</v>
      </c>
    </row>
    <row r="1356" spans="1:38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126"/>
        <v>46+</v>
      </c>
      <c r="AH1356" t="str">
        <f t="shared" si="127"/>
        <v>Low (0-3K)</v>
      </c>
      <c r="AI1356" t="str">
        <f t="shared" si="128"/>
        <v>3-5 yrs</v>
      </c>
      <c r="AJ1356" t="str">
        <f t="shared" si="129"/>
        <v>Good</v>
      </c>
      <c r="AK1356" t="str">
        <f t="shared" si="130"/>
        <v>Very Satisfied</v>
      </c>
      <c r="AL1356">
        <f t="shared" si="131"/>
        <v>31044</v>
      </c>
    </row>
    <row r="1357" spans="1:38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126"/>
        <v>36-45</v>
      </c>
      <c r="AH1357" t="str">
        <f t="shared" si="127"/>
        <v>Mid (3-6K)</v>
      </c>
      <c r="AI1357" t="str">
        <f t="shared" si="128"/>
        <v>3-5 yrs</v>
      </c>
      <c r="AJ1357" t="str">
        <f t="shared" si="129"/>
        <v>Good</v>
      </c>
      <c r="AK1357" t="str">
        <f t="shared" si="130"/>
        <v>Dissatisfied</v>
      </c>
      <c r="AL1357">
        <f t="shared" si="131"/>
        <v>66084</v>
      </c>
    </row>
    <row r="1358" spans="1:38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126"/>
        <v>36-45</v>
      </c>
      <c r="AH1358" t="str">
        <f t="shared" si="127"/>
        <v>Mid (3-6K)</v>
      </c>
      <c r="AI1358" t="str">
        <f t="shared" si="128"/>
        <v>3-5 yrs</v>
      </c>
      <c r="AJ1358" t="str">
        <f t="shared" si="129"/>
        <v>Excellent</v>
      </c>
      <c r="AK1358" t="str">
        <f t="shared" si="130"/>
        <v>Dissatisfied</v>
      </c>
      <c r="AL1358">
        <f t="shared" si="131"/>
        <v>52716</v>
      </c>
    </row>
    <row r="1359" spans="1:38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126"/>
        <v>36-45</v>
      </c>
      <c r="AH1359" t="str">
        <f t="shared" si="127"/>
        <v>Very High (10K+)</v>
      </c>
      <c r="AI1359" t="str">
        <f t="shared" si="128"/>
        <v>10+ yrs</v>
      </c>
      <c r="AJ1359" t="str">
        <f t="shared" si="129"/>
        <v>Good</v>
      </c>
      <c r="AK1359" t="str">
        <f t="shared" si="130"/>
        <v>Very Dissatisfied</v>
      </c>
      <c r="AL1359">
        <f t="shared" si="131"/>
        <v>160176</v>
      </c>
    </row>
    <row r="1360" spans="1:38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126"/>
        <v>26-35</v>
      </c>
      <c r="AH1360" t="str">
        <f t="shared" si="127"/>
        <v>High (6-10K)</v>
      </c>
      <c r="AI1360" t="str">
        <f t="shared" si="128"/>
        <v>3-5 yrs</v>
      </c>
      <c r="AJ1360" t="str">
        <f t="shared" si="129"/>
        <v>Good</v>
      </c>
      <c r="AK1360" t="str">
        <f t="shared" si="130"/>
        <v>Very Satisfied</v>
      </c>
      <c r="AL1360">
        <f t="shared" si="131"/>
        <v>78996</v>
      </c>
    </row>
    <row r="1361" spans="1:38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126"/>
        <v>26-35</v>
      </c>
      <c r="AH1361" t="str">
        <f t="shared" si="127"/>
        <v>High (6-10K)</v>
      </c>
      <c r="AI1361" t="str">
        <f t="shared" si="128"/>
        <v>3-5 yrs</v>
      </c>
      <c r="AJ1361" t="str">
        <f t="shared" si="129"/>
        <v>Good</v>
      </c>
      <c r="AK1361" t="str">
        <f t="shared" si="130"/>
        <v>Very Satisfied</v>
      </c>
      <c r="AL1361">
        <f t="shared" si="131"/>
        <v>97236</v>
      </c>
    </row>
    <row r="1362" spans="1:38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126"/>
        <v>26-35</v>
      </c>
      <c r="AH1362" t="str">
        <f t="shared" si="127"/>
        <v>Mid (3-6K)</v>
      </c>
      <c r="AI1362" t="str">
        <f t="shared" si="128"/>
        <v>0-2 yrs</v>
      </c>
      <c r="AJ1362" t="str">
        <f t="shared" si="129"/>
        <v>Good</v>
      </c>
      <c r="AK1362" t="str">
        <f t="shared" si="130"/>
        <v>Satisfied</v>
      </c>
      <c r="AL1362">
        <f t="shared" si="131"/>
        <v>47736</v>
      </c>
    </row>
    <row r="1363" spans="1:38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126"/>
        <v>26-35</v>
      </c>
      <c r="AH1363" t="str">
        <f t="shared" si="127"/>
        <v>Low (0-3K)</v>
      </c>
      <c r="AI1363" t="str">
        <f t="shared" si="128"/>
        <v>6-10 yrs</v>
      </c>
      <c r="AJ1363" t="str">
        <f t="shared" si="129"/>
        <v>Good</v>
      </c>
      <c r="AK1363" t="str">
        <f t="shared" si="130"/>
        <v>Very Satisfied</v>
      </c>
      <c r="AL1363">
        <f t="shared" si="131"/>
        <v>30528</v>
      </c>
    </row>
    <row r="1364" spans="1:38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126"/>
        <v>36-45</v>
      </c>
      <c r="AH1364" t="str">
        <f t="shared" si="127"/>
        <v>Mid (3-6K)</v>
      </c>
      <c r="AI1364" t="str">
        <f t="shared" si="128"/>
        <v>3-5 yrs</v>
      </c>
      <c r="AJ1364" t="str">
        <f t="shared" si="129"/>
        <v>Good</v>
      </c>
      <c r="AK1364" t="str">
        <f t="shared" si="130"/>
        <v>Satisfied</v>
      </c>
      <c r="AL1364">
        <f t="shared" si="131"/>
        <v>64788</v>
      </c>
    </row>
    <row r="1365" spans="1:38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126"/>
        <v>26-35</v>
      </c>
      <c r="AH1365" t="str">
        <f t="shared" si="127"/>
        <v>Mid (3-6K)</v>
      </c>
      <c r="AI1365" t="str">
        <f t="shared" si="128"/>
        <v>6-10 yrs</v>
      </c>
      <c r="AJ1365" t="str">
        <f t="shared" si="129"/>
        <v>Good</v>
      </c>
      <c r="AK1365" t="str">
        <f t="shared" si="130"/>
        <v>Satisfied</v>
      </c>
      <c r="AL1365">
        <f t="shared" si="131"/>
        <v>65844</v>
      </c>
    </row>
    <row r="1366" spans="1:38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126"/>
        <v>26-35</v>
      </c>
      <c r="AH1366" t="str">
        <f t="shared" si="127"/>
        <v>High (6-10K)</v>
      </c>
      <c r="AI1366" t="str">
        <f t="shared" si="128"/>
        <v>6-10 yrs</v>
      </c>
      <c r="AJ1366" t="str">
        <f t="shared" si="129"/>
        <v>Good</v>
      </c>
      <c r="AK1366" t="str">
        <f t="shared" si="130"/>
        <v>Very Satisfied</v>
      </c>
      <c r="AL1366">
        <f t="shared" si="131"/>
        <v>82008</v>
      </c>
    </row>
    <row r="1367" spans="1:38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126"/>
        <v>26-35</v>
      </c>
      <c r="AH1367" t="str">
        <f t="shared" si="127"/>
        <v>Low (0-3K)</v>
      </c>
      <c r="AI1367" t="str">
        <f t="shared" si="128"/>
        <v>0-2 yrs</v>
      </c>
      <c r="AJ1367" t="str">
        <f t="shared" si="129"/>
        <v>Good</v>
      </c>
      <c r="AK1367" t="str">
        <f t="shared" si="130"/>
        <v>Very Dissatisfied</v>
      </c>
      <c r="AL1367">
        <f t="shared" si="131"/>
        <v>13092</v>
      </c>
    </row>
    <row r="1368" spans="1:38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126"/>
        <v>36-45</v>
      </c>
      <c r="AH1368" t="str">
        <f t="shared" si="127"/>
        <v>Mid (3-6K)</v>
      </c>
      <c r="AI1368" t="str">
        <f t="shared" si="128"/>
        <v>3-5 yrs</v>
      </c>
      <c r="AJ1368" t="str">
        <f t="shared" si="129"/>
        <v>Good</v>
      </c>
      <c r="AK1368" t="str">
        <f t="shared" si="130"/>
        <v>Satisfied</v>
      </c>
      <c r="AL1368">
        <f t="shared" si="131"/>
        <v>68832</v>
      </c>
    </row>
    <row r="1369" spans="1:38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126"/>
        <v>26-35</v>
      </c>
      <c r="AH1369" t="str">
        <f t="shared" si="127"/>
        <v>Low (0-3K)</v>
      </c>
      <c r="AI1369" t="str">
        <f t="shared" si="128"/>
        <v>3-5 yrs</v>
      </c>
      <c r="AJ1369" t="str">
        <f t="shared" si="129"/>
        <v>Good</v>
      </c>
      <c r="AK1369" t="str">
        <f t="shared" si="130"/>
        <v>Dissatisfied</v>
      </c>
      <c r="AL1369">
        <f t="shared" si="131"/>
        <v>26712</v>
      </c>
    </row>
    <row r="1370" spans="1:38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126"/>
        <v>26-35</v>
      </c>
      <c r="AH1370" t="str">
        <f t="shared" si="127"/>
        <v>Mid (3-6K)</v>
      </c>
      <c r="AI1370" t="str">
        <f t="shared" si="128"/>
        <v>10+ yrs</v>
      </c>
      <c r="AJ1370" t="str">
        <f t="shared" si="129"/>
        <v>Good</v>
      </c>
      <c r="AK1370" t="str">
        <f t="shared" si="130"/>
        <v>Very Satisfied</v>
      </c>
      <c r="AL1370">
        <f t="shared" si="131"/>
        <v>68964</v>
      </c>
    </row>
    <row r="1371" spans="1:38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126"/>
        <v>26-35</v>
      </c>
      <c r="AH1371" t="str">
        <f t="shared" si="127"/>
        <v>High (6-10K)</v>
      </c>
      <c r="AI1371" t="str">
        <f t="shared" si="128"/>
        <v>0-2 yrs</v>
      </c>
      <c r="AJ1371" t="str">
        <f t="shared" si="129"/>
        <v>Good</v>
      </c>
      <c r="AK1371" t="str">
        <f t="shared" si="130"/>
        <v>Satisfied</v>
      </c>
      <c r="AL1371">
        <f t="shared" si="131"/>
        <v>118248</v>
      </c>
    </row>
    <row r="1372" spans="1:38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126"/>
        <v>46+</v>
      </c>
      <c r="AH1372" t="str">
        <f t="shared" si="127"/>
        <v>Mid (3-6K)</v>
      </c>
      <c r="AI1372" t="str">
        <f t="shared" si="128"/>
        <v>6-10 yrs</v>
      </c>
      <c r="AJ1372" t="str">
        <f t="shared" si="129"/>
        <v>Good</v>
      </c>
      <c r="AK1372" t="str">
        <f t="shared" si="130"/>
        <v>Dissatisfied</v>
      </c>
      <c r="AL1372">
        <f t="shared" si="131"/>
        <v>65604</v>
      </c>
    </row>
    <row r="1373" spans="1:38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126"/>
        <v>46+</v>
      </c>
      <c r="AH1373" t="str">
        <f t="shared" si="127"/>
        <v>Mid (3-6K)</v>
      </c>
      <c r="AI1373" t="str">
        <f t="shared" si="128"/>
        <v>0-2 yrs</v>
      </c>
      <c r="AJ1373" t="str">
        <f t="shared" si="129"/>
        <v>Good</v>
      </c>
      <c r="AK1373" t="str">
        <f t="shared" si="130"/>
        <v>Very Dissatisfied</v>
      </c>
      <c r="AL1373">
        <f t="shared" si="131"/>
        <v>64560</v>
      </c>
    </row>
    <row r="1374" spans="1:38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126"/>
        <v>36-45</v>
      </c>
      <c r="AH1374" t="str">
        <f t="shared" si="127"/>
        <v>Mid (3-6K)</v>
      </c>
      <c r="AI1374" t="str">
        <f t="shared" si="128"/>
        <v>6-10 yrs</v>
      </c>
      <c r="AJ1374" t="str">
        <f t="shared" si="129"/>
        <v>Excellent</v>
      </c>
      <c r="AK1374" t="str">
        <f t="shared" si="130"/>
        <v>Very Dissatisfied</v>
      </c>
      <c r="AL1374">
        <f t="shared" si="131"/>
        <v>61812</v>
      </c>
    </row>
    <row r="1375" spans="1:38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126"/>
        <v>36-45</v>
      </c>
      <c r="AH1375" t="str">
        <f t="shared" si="127"/>
        <v>Low (0-3K)</v>
      </c>
      <c r="AI1375" t="str">
        <f t="shared" si="128"/>
        <v>10+ yrs</v>
      </c>
      <c r="AJ1375" t="str">
        <f t="shared" si="129"/>
        <v>Good</v>
      </c>
      <c r="AK1375" t="str">
        <f t="shared" si="130"/>
        <v>Dissatisfied</v>
      </c>
      <c r="AL1375">
        <f t="shared" si="131"/>
        <v>25596</v>
      </c>
    </row>
    <row r="1376" spans="1:38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126"/>
        <v>46+</v>
      </c>
      <c r="AH1376" t="str">
        <f t="shared" si="127"/>
        <v>Very High (10K+)</v>
      </c>
      <c r="AI1376" t="str">
        <f t="shared" si="128"/>
        <v>0-2 yrs</v>
      </c>
      <c r="AJ1376" t="str">
        <f t="shared" si="129"/>
        <v>Good</v>
      </c>
      <c r="AK1376" t="str">
        <f t="shared" si="130"/>
        <v>Very Satisfied</v>
      </c>
      <c r="AL1376">
        <f t="shared" si="131"/>
        <v>214500</v>
      </c>
    </row>
    <row r="1377" spans="1:38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126"/>
        <v>26-35</v>
      </c>
      <c r="AH1377" t="str">
        <f t="shared" si="127"/>
        <v>Low (0-3K)</v>
      </c>
      <c r="AI1377" t="str">
        <f t="shared" si="128"/>
        <v>3-5 yrs</v>
      </c>
      <c r="AJ1377" t="str">
        <f t="shared" si="129"/>
        <v>Good</v>
      </c>
      <c r="AK1377" t="str">
        <f t="shared" si="130"/>
        <v>Satisfied</v>
      </c>
      <c r="AL1377">
        <f t="shared" si="131"/>
        <v>29184</v>
      </c>
    </row>
    <row r="1378" spans="1:38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126"/>
        <v>36-45</v>
      </c>
      <c r="AH1378" t="str">
        <f t="shared" si="127"/>
        <v>Mid (3-6K)</v>
      </c>
      <c r="AI1378" t="str">
        <f t="shared" si="128"/>
        <v>3-5 yrs</v>
      </c>
      <c r="AJ1378" t="str">
        <f t="shared" si="129"/>
        <v>Good</v>
      </c>
      <c r="AK1378" t="str">
        <f t="shared" si="130"/>
        <v>Very Satisfied</v>
      </c>
      <c r="AL1378">
        <f t="shared" si="131"/>
        <v>57252</v>
      </c>
    </row>
    <row r="1379" spans="1:38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126"/>
        <v>46+</v>
      </c>
      <c r="AH1379" t="str">
        <f t="shared" si="127"/>
        <v>Very High (10K+)</v>
      </c>
      <c r="AI1379" t="str">
        <f t="shared" si="128"/>
        <v>3-5 yrs</v>
      </c>
      <c r="AJ1379" t="str">
        <f t="shared" si="129"/>
        <v>Good</v>
      </c>
      <c r="AK1379" t="str">
        <f t="shared" si="130"/>
        <v>Very Satisfied</v>
      </c>
      <c r="AL1379">
        <f t="shared" si="131"/>
        <v>229932</v>
      </c>
    </row>
    <row r="1380" spans="1:38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126"/>
        <v>36-45</v>
      </c>
      <c r="AH1380" t="str">
        <f t="shared" si="127"/>
        <v>Mid (3-6K)</v>
      </c>
      <c r="AI1380" t="str">
        <f t="shared" si="128"/>
        <v>0-2 yrs</v>
      </c>
      <c r="AJ1380" t="str">
        <f t="shared" si="129"/>
        <v>Good</v>
      </c>
      <c r="AK1380" t="str">
        <f t="shared" si="130"/>
        <v>Very Satisfied</v>
      </c>
      <c r="AL1380">
        <f t="shared" si="131"/>
        <v>61044</v>
      </c>
    </row>
    <row r="1381" spans="1:38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126"/>
        <v>26-35</v>
      </c>
      <c r="AH1381" t="str">
        <f t="shared" si="127"/>
        <v>Low (0-3K)</v>
      </c>
      <c r="AI1381" t="str">
        <f t="shared" si="128"/>
        <v>0-2 yrs</v>
      </c>
      <c r="AJ1381" t="str">
        <f t="shared" si="129"/>
        <v>Good</v>
      </c>
      <c r="AK1381" t="str">
        <f t="shared" si="130"/>
        <v>Dissatisfied</v>
      </c>
      <c r="AL1381">
        <f t="shared" si="131"/>
        <v>34356</v>
      </c>
    </row>
    <row r="1382" spans="1:38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126"/>
        <v>26-35</v>
      </c>
      <c r="AH1382" t="str">
        <f t="shared" si="127"/>
        <v>Mid (3-6K)</v>
      </c>
      <c r="AI1382" t="str">
        <f t="shared" si="128"/>
        <v>3-5 yrs</v>
      </c>
      <c r="AJ1382" t="str">
        <f t="shared" si="129"/>
        <v>Good</v>
      </c>
      <c r="AK1382" t="str">
        <f t="shared" si="130"/>
        <v>Very Dissatisfied</v>
      </c>
      <c r="AL1382">
        <f t="shared" si="131"/>
        <v>66732</v>
      </c>
    </row>
    <row r="1383" spans="1:38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126"/>
        <v>26-35</v>
      </c>
      <c r="AH1383" t="str">
        <f t="shared" si="127"/>
        <v>Low (0-3K)</v>
      </c>
      <c r="AI1383" t="str">
        <f t="shared" si="128"/>
        <v>3-5 yrs</v>
      </c>
      <c r="AJ1383" t="str">
        <f t="shared" si="129"/>
        <v>Good</v>
      </c>
      <c r="AK1383" t="str">
        <f t="shared" si="130"/>
        <v>Satisfied</v>
      </c>
      <c r="AL1383">
        <f t="shared" si="131"/>
        <v>25728</v>
      </c>
    </row>
    <row r="1384" spans="1:38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126"/>
        <v>26-35</v>
      </c>
      <c r="AH1384" t="str">
        <f t="shared" si="127"/>
        <v>Mid (3-6K)</v>
      </c>
      <c r="AI1384" t="str">
        <f t="shared" si="128"/>
        <v>3-5 yrs</v>
      </c>
      <c r="AJ1384" t="str">
        <f t="shared" si="129"/>
        <v>Good</v>
      </c>
      <c r="AK1384" t="str">
        <f t="shared" si="130"/>
        <v>Very Dissatisfied</v>
      </c>
      <c r="AL1384">
        <f t="shared" si="131"/>
        <v>36780</v>
      </c>
    </row>
    <row r="1385" spans="1:38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126"/>
        <v>36-45</v>
      </c>
      <c r="AH1385" t="str">
        <f t="shared" si="127"/>
        <v>Low (0-3K)</v>
      </c>
      <c r="AI1385" t="str">
        <f t="shared" si="128"/>
        <v>3-5 yrs</v>
      </c>
      <c r="AJ1385" t="str">
        <f t="shared" si="129"/>
        <v>Excellent</v>
      </c>
      <c r="AK1385" t="str">
        <f t="shared" si="130"/>
        <v>Dissatisfied</v>
      </c>
      <c r="AL1385">
        <f t="shared" si="131"/>
        <v>33720</v>
      </c>
    </row>
    <row r="1386" spans="1:38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126"/>
        <v>26-35</v>
      </c>
      <c r="AH1386" t="str">
        <f t="shared" si="127"/>
        <v>High (6-10K)</v>
      </c>
      <c r="AI1386" t="str">
        <f t="shared" si="128"/>
        <v>10+ yrs</v>
      </c>
      <c r="AJ1386" t="str">
        <f t="shared" si="129"/>
        <v>Excellent</v>
      </c>
      <c r="AK1386" t="str">
        <f t="shared" si="130"/>
        <v>Very Satisfied</v>
      </c>
      <c r="AL1386">
        <f t="shared" si="131"/>
        <v>118656</v>
      </c>
    </row>
    <row r="1387" spans="1:38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126"/>
        <v>26-35</v>
      </c>
      <c r="AH1387" t="str">
        <f t="shared" si="127"/>
        <v>High (6-10K)</v>
      </c>
      <c r="AI1387" t="str">
        <f t="shared" si="128"/>
        <v>6-10 yrs</v>
      </c>
      <c r="AJ1387" t="str">
        <f t="shared" si="129"/>
        <v>Good</v>
      </c>
      <c r="AK1387" t="str">
        <f t="shared" si="130"/>
        <v>Satisfied</v>
      </c>
      <c r="AL1387">
        <f t="shared" si="131"/>
        <v>103536</v>
      </c>
    </row>
    <row r="1388" spans="1:38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126"/>
        <v>26-35</v>
      </c>
      <c r="AH1388" t="str">
        <f t="shared" si="127"/>
        <v>Low (0-3K)</v>
      </c>
      <c r="AI1388" t="str">
        <f t="shared" si="128"/>
        <v>6-10 yrs</v>
      </c>
      <c r="AJ1388" t="str">
        <f t="shared" si="129"/>
        <v>Good</v>
      </c>
      <c r="AK1388" t="str">
        <f t="shared" si="130"/>
        <v>Very Dissatisfied</v>
      </c>
      <c r="AL1388">
        <f t="shared" si="131"/>
        <v>34404</v>
      </c>
    </row>
    <row r="1389" spans="1:38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126"/>
        <v>26-35</v>
      </c>
      <c r="AH1389" t="str">
        <f t="shared" si="127"/>
        <v>Mid (3-6K)</v>
      </c>
      <c r="AI1389" t="str">
        <f t="shared" si="128"/>
        <v>3-5 yrs</v>
      </c>
      <c r="AJ1389" t="str">
        <f t="shared" si="129"/>
        <v>Good</v>
      </c>
      <c r="AK1389" t="str">
        <f t="shared" si="130"/>
        <v>Very Dissatisfied</v>
      </c>
      <c r="AL1389">
        <f t="shared" si="131"/>
        <v>64476</v>
      </c>
    </row>
    <row r="1390" spans="1:38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126"/>
        <v>26-35</v>
      </c>
      <c r="AH1390" t="str">
        <f t="shared" si="127"/>
        <v>High (6-10K)</v>
      </c>
      <c r="AI1390" t="str">
        <f t="shared" si="128"/>
        <v>3-5 yrs</v>
      </c>
      <c r="AJ1390" t="str">
        <f t="shared" si="129"/>
        <v>Good</v>
      </c>
      <c r="AK1390" t="str">
        <f t="shared" si="130"/>
        <v>Very Satisfied</v>
      </c>
      <c r="AL1390">
        <f t="shared" si="131"/>
        <v>80004</v>
      </c>
    </row>
    <row r="1391" spans="1:38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126"/>
        <v>26-35</v>
      </c>
      <c r="AH1391" t="str">
        <f t="shared" si="127"/>
        <v>Mid (3-6K)</v>
      </c>
      <c r="AI1391" t="str">
        <f t="shared" si="128"/>
        <v>6-10 yrs</v>
      </c>
      <c r="AJ1391" t="str">
        <f t="shared" si="129"/>
        <v>Excellent</v>
      </c>
      <c r="AK1391" t="str">
        <f t="shared" si="130"/>
        <v>Very Dissatisfied</v>
      </c>
      <c r="AL1391">
        <f t="shared" si="131"/>
        <v>60036</v>
      </c>
    </row>
    <row r="1392" spans="1:38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126"/>
        <v>26-35</v>
      </c>
      <c r="AH1392" t="str">
        <f t="shared" si="127"/>
        <v>Low (0-3K)</v>
      </c>
      <c r="AI1392" t="str">
        <f t="shared" si="128"/>
        <v>3-5 yrs</v>
      </c>
      <c r="AJ1392" t="str">
        <f t="shared" si="129"/>
        <v>Good</v>
      </c>
      <c r="AK1392" t="str">
        <f t="shared" si="130"/>
        <v>Very Satisfied</v>
      </c>
      <c r="AL1392">
        <f t="shared" si="131"/>
        <v>28404</v>
      </c>
    </row>
    <row r="1393" spans="1:38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126"/>
        <v>36-45</v>
      </c>
      <c r="AH1393" t="str">
        <f t="shared" si="127"/>
        <v>Low (0-3K)</v>
      </c>
      <c r="AI1393" t="str">
        <f t="shared" si="128"/>
        <v>0-2 yrs</v>
      </c>
      <c r="AJ1393" t="str">
        <f t="shared" si="129"/>
        <v>Good</v>
      </c>
      <c r="AK1393" t="str">
        <f t="shared" si="130"/>
        <v>Very Dissatisfied</v>
      </c>
      <c r="AL1393">
        <f t="shared" si="131"/>
        <v>34296</v>
      </c>
    </row>
    <row r="1394" spans="1:38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126"/>
        <v>26-35</v>
      </c>
      <c r="AH1394" t="str">
        <f t="shared" si="127"/>
        <v>Mid (3-6K)</v>
      </c>
      <c r="AI1394" t="str">
        <f t="shared" si="128"/>
        <v>6-10 yrs</v>
      </c>
      <c r="AJ1394" t="str">
        <f t="shared" si="129"/>
        <v>Good</v>
      </c>
      <c r="AK1394" t="str">
        <f t="shared" si="130"/>
        <v>Very Satisfied</v>
      </c>
      <c r="AL1394">
        <f t="shared" si="131"/>
        <v>62448</v>
      </c>
    </row>
    <row r="1395" spans="1:38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126"/>
        <v>26-35</v>
      </c>
      <c r="AH1395" t="str">
        <f t="shared" si="127"/>
        <v>Mid (3-6K)</v>
      </c>
      <c r="AI1395" t="str">
        <f t="shared" si="128"/>
        <v>6-10 yrs</v>
      </c>
      <c r="AJ1395" t="str">
        <f t="shared" si="129"/>
        <v>Good</v>
      </c>
      <c r="AK1395" t="str">
        <f t="shared" si="130"/>
        <v>Very Satisfied</v>
      </c>
      <c r="AL1395">
        <f t="shared" si="131"/>
        <v>49260</v>
      </c>
    </row>
    <row r="1396" spans="1:38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126"/>
        <v>26-35</v>
      </c>
      <c r="AH1396" t="str">
        <f t="shared" si="127"/>
        <v>High (6-10K)</v>
      </c>
      <c r="AI1396" t="str">
        <f t="shared" si="128"/>
        <v>0-2 yrs</v>
      </c>
      <c r="AJ1396" t="str">
        <f t="shared" si="129"/>
        <v>Excellent</v>
      </c>
      <c r="AK1396" t="str">
        <f t="shared" si="130"/>
        <v>Very Satisfied</v>
      </c>
      <c r="AL1396">
        <f t="shared" si="131"/>
        <v>116148</v>
      </c>
    </row>
    <row r="1397" spans="1:38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126"/>
        <v>26-35</v>
      </c>
      <c r="AH1397" t="str">
        <f t="shared" si="127"/>
        <v>Mid (3-6K)</v>
      </c>
      <c r="AI1397" t="str">
        <f t="shared" si="128"/>
        <v>6-10 yrs</v>
      </c>
      <c r="AJ1397" t="str">
        <f t="shared" si="129"/>
        <v>Good</v>
      </c>
      <c r="AK1397" t="str">
        <f t="shared" si="130"/>
        <v>Very Satisfied</v>
      </c>
      <c r="AL1397">
        <f t="shared" si="131"/>
        <v>67404</v>
      </c>
    </row>
    <row r="1398" spans="1:38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126"/>
        <v>46+</v>
      </c>
      <c r="AH1398" t="str">
        <f t="shared" si="127"/>
        <v>Very High (10K+)</v>
      </c>
      <c r="AI1398" t="str">
        <f t="shared" si="128"/>
        <v>0-2 yrs</v>
      </c>
      <c r="AJ1398" t="str">
        <f t="shared" si="129"/>
        <v>Good</v>
      </c>
      <c r="AK1398" t="str">
        <f t="shared" si="130"/>
        <v>Very Dissatisfied</v>
      </c>
      <c r="AL1398">
        <f t="shared" si="131"/>
        <v>125376</v>
      </c>
    </row>
    <row r="1399" spans="1:38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126"/>
        <v>46+</v>
      </c>
      <c r="AH1399" t="str">
        <f t="shared" si="127"/>
        <v>Low (0-3K)</v>
      </c>
      <c r="AI1399" t="str">
        <f t="shared" si="128"/>
        <v>3-5 yrs</v>
      </c>
      <c r="AJ1399" t="str">
        <f t="shared" si="129"/>
        <v>Good</v>
      </c>
      <c r="AK1399" t="str">
        <f t="shared" si="130"/>
        <v>Satisfied</v>
      </c>
      <c r="AL1399">
        <f t="shared" si="131"/>
        <v>34764</v>
      </c>
    </row>
    <row r="1400" spans="1:38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126"/>
        <v>26-35</v>
      </c>
      <c r="AH1400" t="str">
        <f t="shared" si="127"/>
        <v>Mid (3-6K)</v>
      </c>
      <c r="AI1400" t="str">
        <f t="shared" si="128"/>
        <v>6-10 yrs</v>
      </c>
      <c r="AJ1400" t="str">
        <f t="shared" si="129"/>
        <v>Excellent</v>
      </c>
      <c r="AK1400" t="str">
        <f t="shared" si="130"/>
        <v>Satisfied</v>
      </c>
      <c r="AL1400">
        <f t="shared" si="131"/>
        <v>71616</v>
      </c>
    </row>
    <row r="1401" spans="1:38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126"/>
        <v>36-45</v>
      </c>
      <c r="AH1401" t="str">
        <f t="shared" si="127"/>
        <v>High (6-10K)</v>
      </c>
      <c r="AI1401" t="str">
        <f t="shared" si="128"/>
        <v>6-10 yrs</v>
      </c>
      <c r="AJ1401" t="str">
        <f t="shared" si="129"/>
        <v>Good</v>
      </c>
      <c r="AK1401" t="str">
        <f t="shared" si="130"/>
        <v>Satisfied</v>
      </c>
      <c r="AL1401">
        <f t="shared" si="131"/>
        <v>90120</v>
      </c>
    </row>
    <row r="1402" spans="1:38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126"/>
        <v>36-45</v>
      </c>
      <c r="AH1402" t="str">
        <f t="shared" si="127"/>
        <v>Low (0-3K)</v>
      </c>
      <c r="AI1402" t="str">
        <f t="shared" si="128"/>
        <v>6-10 yrs</v>
      </c>
      <c r="AJ1402" t="str">
        <f t="shared" si="129"/>
        <v>Good</v>
      </c>
      <c r="AK1402" t="str">
        <f t="shared" si="130"/>
        <v>Dissatisfied</v>
      </c>
      <c r="AL1402">
        <f t="shared" si="131"/>
        <v>35892</v>
      </c>
    </row>
    <row r="1403" spans="1:38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126"/>
        <v>46+</v>
      </c>
      <c r="AH1403" t="str">
        <f t="shared" si="127"/>
        <v>Very High (10K+)</v>
      </c>
      <c r="AI1403" t="str">
        <f t="shared" si="128"/>
        <v>6-10 yrs</v>
      </c>
      <c r="AJ1403" t="str">
        <f t="shared" si="129"/>
        <v>Good</v>
      </c>
      <c r="AK1403" t="str">
        <f t="shared" si="130"/>
        <v>Dissatisfied</v>
      </c>
      <c r="AL1403">
        <f t="shared" si="131"/>
        <v>235632</v>
      </c>
    </row>
    <row r="1404" spans="1:38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126"/>
        <v>26-35</v>
      </c>
      <c r="AH1404" t="str">
        <f t="shared" si="127"/>
        <v>Low (0-3K)</v>
      </c>
      <c r="AI1404" t="str">
        <f t="shared" si="128"/>
        <v>0-2 yrs</v>
      </c>
      <c r="AJ1404" t="str">
        <f t="shared" si="129"/>
        <v>Good</v>
      </c>
      <c r="AK1404" t="str">
        <f t="shared" si="130"/>
        <v>Very Satisfied</v>
      </c>
      <c r="AL1404">
        <f t="shared" si="131"/>
        <v>13548</v>
      </c>
    </row>
    <row r="1405" spans="1:38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126"/>
        <v>36-45</v>
      </c>
      <c r="AH1405" t="str">
        <f t="shared" si="127"/>
        <v>Very High (10K+)</v>
      </c>
      <c r="AI1405" t="str">
        <f t="shared" si="128"/>
        <v>10+ yrs</v>
      </c>
      <c r="AJ1405" t="str">
        <f t="shared" si="129"/>
        <v>Good</v>
      </c>
      <c r="AK1405" t="str">
        <f t="shared" si="130"/>
        <v>Very Dissatisfied</v>
      </c>
      <c r="AL1405">
        <f t="shared" si="131"/>
        <v>160092</v>
      </c>
    </row>
    <row r="1406" spans="1:38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126"/>
        <v>36-45</v>
      </c>
      <c r="AH1406" t="str">
        <f t="shared" si="127"/>
        <v>Mid (3-6K)</v>
      </c>
      <c r="AI1406" t="str">
        <f t="shared" si="128"/>
        <v>10+ yrs</v>
      </c>
      <c r="AJ1406" t="str">
        <f t="shared" si="129"/>
        <v>Good</v>
      </c>
      <c r="AK1406" t="str">
        <f t="shared" si="130"/>
        <v>Satisfied</v>
      </c>
      <c r="AL1406">
        <f t="shared" si="131"/>
        <v>51984</v>
      </c>
    </row>
    <row r="1407" spans="1:38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126"/>
        <v>26-35</v>
      </c>
      <c r="AH1407" t="str">
        <f t="shared" si="127"/>
        <v>Very High (10K+)</v>
      </c>
      <c r="AI1407" t="str">
        <f t="shared" si="128"/>
        <v>10+ yrs</v>
      </c>
      <c r="AJ1407" t="str">
        <f t="shared" si="129"/>
        <v>Excellent</v>
      </c>
      <c r="AK1407" t="str">
        <f t="shared" si="130"/>
        <v>Satisfied</v>
      </c>
      <c r="AL1407">
        <f t="shared" si="131"/>
        <v>132372</v>
      </c>
    </row>
    <row r="1408" spans="1:38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126"/>
        <v>46+</v>
      </c>
      <c r="AH1408" t="str">
        <f t="shared" si="127"/>
        <v>Mid (3-6K)</v>
      </c>
      <c r="AI1408" t="str">
        <f t="shared" si="128"/>
        <v>3-5 yrs</v>
      </c>
      <c r="AJ1408" t="str">
        <f t="shared" si="129"/>
        <v>Good</v>
      </c>
      <c r="AK1408" t="str">
        <f t="shared" si="130"/>
        <v>Very Dissatisfied</v>
      </c>
      <c r="AL1408">
        <f t="shared" si="131"/>
        <v>53280</v>
      </c>
    </row>
    <row r="1409" spans="1:38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126"/>
        <v>20-25</v>
      </c>
      <c r="AH1409" t="str">
        <f t="shared" si="127"/>
        <v>Mid (3-6K)</v>
      </c>
      <c r="AI1409" t="str">
        <f t="shared" si="128"/>
        <v>3-5 yrs</v>
      </c>
      <c r="AJ1409" t="str">
        <f t="shared" si="129"/>
        <v>Good</v>
      </c>
      <c r="AK1409" t="str">
        <f t="shared" si="130"/>
        <v>Satisfied</v>
      </c>
      <c r="AL1409">
        <f t="shared" si="131"/>
        <v>55404</v>
      </c>
    </row>
    <row r="1410" spans="1:38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si="126"/>
        <v>20-25</v>
      </c>
      <c r="AH1410" t="str">
        <f t="shared" si="127"/>
        <v>Low (0-3K)</v>
      </c>
      <c r="AI1410" t="str">
        <f t="shared" si="128"/>
        <v>3-5 yrs</v>
      </c>
      <c r="AJ1410" t="str">
        <f t="shared" si="129"/>
        <v>Good</v>
      </c>
      <c r="AK1410" t="str">
        <f t="shared" si="130"/>
        <v>Very Satisfied</v>
      </c>
      <c r="AL1410">
        <f t="shared" si="131"/>
        <v>31764</v>
      </c>
    </row>
    <row r="1411" spans="1:38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ref="AG1411:AG1471" si="132">IF(A1411&lt;=25,"20-25",IF(A1411&lt;=35,"26-35",IF(A1411&lt;=45,"36-45","46+")))</f>
        <v>36-45</v>
      </c>
      <c r="AH1411" t="str">
        <f t="shared" ref="AH1411:AH1471" si="133">IF(R1411&lt;=3000,"Low (0-3K)",IF(R1411&lt;=6000,"Mid (3-6K)",IF(R1411&lt;=10000,"High (6-10K)","Very High (10K+)")))</f>
        <v>High (6-10K)</v>
      </c>
      <c r="AI1411" t="str">
        <f t="shared" ref="AI1411:AI1471" si="134">IF(AC1411&lt;=2,"0-2 yrs",IF(AC1411&lt;=5,"3-5 yrs",IF(AC1411&lt;=10,"6-10 yrs","10+ yrs")))</f>
        <v>6-10 yrs</v>
      </c>
      <c r="AJ1411" t="str">
        <f t="shared" ref="AJ1411:AJ1471" si="135">IF(W1411=4,"Excellent",IF(W1411=3,"Good",IF(W1411=2,"Needs Improvement","Poor")))</f>
        <v>Good</v>
      </c>
      <c r="AK1411" t="str">
        <f t="shared" ref="AK1411:AK1471" si="136">IF(P1411=4,"Very Satisfied",IF(P1411=3,"Satisfied",IF(P1411=2,"Dissatisfied","Very Dissatisfied")))</f>
        <v>Satisfied</v>
      </c>
      <c r="AL1411">
        <f t="shared" ref="AL1411:AL1471" si="137">R1411*12</f>
        <v>75876</v>
      </c>
    </row>
    <row r="1412" spans="1:38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132"/>
        <v>36-45</v>
      </c>
      <c r="AH1412" t="str">
        <f t="shared" si="133"/>
        <v>Mid (3-6K)</v>
      </c>
      <c r="AI1412" t="str">
        <f t="shared" si="134"/>
        <v>10+ yrs</v>
      </c>
      <c r="AJ1412" t="str">
        <f t="shared" si="135"/>
        <v>Good</v>
      </c>
      <c r="AK1412" t="str">
        <f t="shared" si="136"/>
        <v>Dissatisfied</v>
      </c>
      <c r="AL1412">
        <f t="shared" si="137"/>
        <v>68124</v>
      </c>
    </row>
    <row r="1413" spans="1:38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132"/>
        <v>20-25</v>
      </c>
      <c r="AH1413" t="str">
        <f t="shared" si="133"/>
        <v>Low (0-3K)</v>
      </c>
      <c r="AI1413" t="str">
        <f t="shared" si="134"/>
        <v>0-2 yrs</v>
      </c>
      <c r="AJ1413" t="str">
        <f t="shared" si="135"/>
        <v>Good</v>
      </c>
      <c r="AK1413" t="str">
        <f t="shared" si="136"/>
        <v>Dissatisfied</v>
      </c>
      <c r="AL1413">
        <f t="shared" si="137"/>
        <v>26244</v>
      </c>
    </row>
    <row r="1414" spans="1:38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132"/>
        <v>26-35</v>
      </c>
      <c r="AH1414" t="str">
        <f t="shared" si="133"/>
        <v>Mid (3-6K)</v>
      </c>
      <c r="AI1414" t="str">
        <f t="shared" si="134"/>
        <v>10+ yrs</v>
      </c>
      <c r="AJ1414" t="str">
        <f t="shared" si="135"/>
        <v>Good</v>
      </c>
      <c r="AK1414" t="str">
        <f t="shared" si="136"/>
        <v>Dissatisfied</v>
      </c>
      <c r="AL1414">
        <f t="shared" si="137"/>
        <v>44976</v>
      </c>
    </row>
    <row r="1415" spans="1:38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132"/>
        <v>20-25</v>
      </c>
      <c r="AH1415" t="str">
        <f t="shared" si="133"/>
        <v>Mid (3-6K)</v>
      </c>
      <c r="AI1415" t="str">
        <f t="shared" si="134"/>
        <v>0-2 yrs</v>
      </c>
      <c r="AJ1415" t="str">
        <f t="shared" si="135"/>
        <v>Good</v>
      </c>
      <c r="AK1415" t="str">
        <f t="shared" si="136"/>
        <v>Satisfied</v>
      </c>
      <c r="AL1415">
        <f t="shared" si="137"/>
        <v>47724</v>
      </c>
    </row>
    <row r="1416" spans="1:38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132"/>
        <v>46+</v>
      </c>
      <c r="AH1416" t="str">
        <f t="shared" si="133"/>
        <v>High (6-10K)</v>
      </c>
      <c r="AI1416" t="str">
        <f t="shared" si="134"/>
        <v>10+ yrs</v>
      </c>
      <c r="AJ1416" t="str">
        <f t="shared" si="135"/>
        <v>Excellent</v>
      </c>
      <c r="AK1416" t="str">
        <f t="shared" si="136"/>
        <v>Satisfied</v>
      </c>
      <c r="AL1416">
        <f t="shared" si="137"/>
        <v>103596</v>
      </c>
    </row>
    <row r="1417" spans="1:38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132"/>
        <v>26-35</v>
      </c>
      <c r="AH1417" t="str">
        <f t="shared" si="133"/>
        <v>Low (0-3K)</v>
      </c>
      <c r="AI1417" t="str">
        <f t="shared" si="134"/>
        <v>0-2 yrs</v>
      </c>
      <c r="AJ1417" t="str">
        <f t="shared" si="135"/>
        <v>Good</v>
      </c>
      <c r="AK1417" t="str">
        <f t="shared" si="136"/>
        <v>Satisfied</v>
      </c>
      <c r="AL1417">
        <f t="shared" si="137"/>
        <v>24096</v>
      </c>
    </row>
    <row r="1418" spans="1:38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132"/>
        <v>36-45</v>
      </c>
      <c r="AH1418" t="str">
        <f t="shared" si="133"/>
        <v>Mid (3-6K)</v>
      </c>
      <c r="AI1418" t="str">
        <f t="shared" si="134"/>
        <v>10+ yrs</v>
      </c>
      <c r="AJ1418" t="str">
        <f t="shared" si="135"/>
        <v>Good</v>
      </c>
      <c r="AK1418" t="str">
        <f t="shared" si="136"/>
        <v>Dissatisfied</v>
      </c>
      <c r="AL1418">
        <f t="shared" si="137"/>
        <v>53280</v>
      </c>
    </row>
    <row r="1419" spans="1:38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132"/>
        <v>26-35</v>
      </c>
      <c r="AH1419" t="str">
        <f t="shared" si="133"/>
        <v>Mid (3-6K)</v>
      </c>
      <c r="AI1419" t="str">
        <f t="shared" si="134"/>
        <v>0-2 yrs</v>
      </c>
      <c r="AJ1419" t="str">
        <f t="shared" si="135"/>
        <v>Good</v>
      </c>
      <c r="AK1419" t="str">
        <f t="shared" si="136"/>
        <v>Satisfied</v>
      </c>
      <c r="AL1419">
        <f t="shared" si="137"/>
        <v>36804</v>
      </c>
    </row>
    <row r="1420" spans="1:38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132"/>
        <v>36-45</v>
      </c>
      <c r="AH1420" t="str">
        <f t="shared" si="133"/>
        <v>Mid (3-6K)</v>
      </c>
      <c r="AI1420" t="str">
        <f t="shared" si="134"/>
        <v>6-10 yrs</v>
      </c>
      <c r="AJ1420" t="str">
        <f t="shared" si="135"/>
        <v>Good</v>
      </c>
      <c r="AK1420" t="str">
        <f t="shared" si="136"/>
        <v>Satisfied</v>
      </c>
      <c r="AL1420">
        <f t="shared" si="137"/>
        <v>63852</v>
      </c>
    </row>
    <row r="1421" spans="1:38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132"/>
        <v>36-45</v>
      </c>
      <c r="AH1421" t="str">
        <f t="shared" si="133"/>
        <v>Mid (3-6K)</v>
      </c>
      <c r="AI1421" t="str">
        <f t="shared" si="134"/>
        <v>3-5 yrs</v>
      </c>
      <c r="AJ1421" t="str">
        <f t="shared" si="135"/>
        <v>Good</v>
      </c>
      <c r="AK1421" t="str">
        <f t="shared" si="136"/>
        <v>Very Dissatisfied</v>
      </c>
      <c r="AL1421">
        <f t="shared" si="137"/>
        <v>64920</v>
      </c>
    </row>
    <row r="1422" spans="1:38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132"/>
        <v>36-45</v>
      </c>
      <c r="AH1422" t="str">
        <f t="shared" si="133"/>
        <v>Low (0-3K)</v>
      </c>
      <c r="AI1422" t="str">
        <f t="shared" si="134"/>
        <v>3-5 yrs</v>
      </c>
      <c r="AJ1422" t="str">
        <f t="shared" si="135"/>
        <v>Excellent</v>
      </c>
      <c r="AK1422" t="str">
        <f t="shared" si="136"/>
        <v>Very Satisfied</v>
      </c>
      <c r="AL1422">
        <f t="shared" si="137"/>
        <v>33384</v>
      </c>
    </row>
    <row r="1423" spans="1:38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132"/>
        <v>46+</v>
      </c>
      <c r="AH1423" t="str">
        <f t="shared" si="133"/>
        <v>Very High (10K+)</v>
      </c>
      <c r="AI1423" t="str">
        <f t="shared" si="134"/>
        <v>10+ yrs</v>
      </c>
      <c r="AJ1423" t="str">
        <f t="shared" si="135"/>
        <v>Good</v>
      </c>
      <c r="AK1423" t="str">
        <f t="shared" si="136"/>
        <v>Dissatisfied</v>
      </c>
      <c r="AL1423">
        <f t="shared" si="137"/>
        <v>143484</v>
      </c>
    </row>
    <row r="1424" spans="1:38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132"/>
        <v>26-35</v>
      </c>
      <c r="AH1424" t="str">
        <f t="shared" si="133"/>
        <v>Low (0-3K)</v>
      </c>
      <c r="AI1424" t="str">
        <f t="shared" si="134"/>
        <v>0-2 yrs</v>
      </c>
      <c r="AJ1424" t="str">
        <f t="shared" si="135"/>
        <v>Good</v>
      </c>
      <c r="AK1424" t="str">
        <f t="shared" si="136"/>
        <v>Satisfied</v>
      </c>
      <c r="AL1424">
        <f t="shared" si="137"/>
        <v>31920</v>
      </c>
    </row>
    <row r="1425" spans="1:38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132"/>
        <v>20-25</v>
      </c>
      <c r="AH1425" t="str">
        <f t="shared" si="133"/>
        <v>Mid (3-6K)</v>
      </c>
      <c r="AI1425" t="str">
        <f t="shared" si="134"/>
        <v>3-5 yrs</v>
      </c>
      <c r="AJ1425" t="str">
        <f t="shared" si="135"/>
        <v>Good</v>
      </c>
      <c r="AK1425" t="str">
        <f t="shared" si="136"/>
        <v>Satisfied</v>
      </c>
      <c r="AL1425">
        <f t="shared" si="137"/>
        <v>40500</v>
      </c>
    </row>
    <row r="1426" spans="1:38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132"/>
        <v>26-35</v>
      </c>
      <c r="AH1426" t="str">
        <f t="shared" si="133"/>
        <v>Mid (3-6K)</v>
      </c>
      <c r="AI1426" t="str">
        <f t="shared" si="134"/>
        <v>6-10 yrs</v>
      </c>
      <c r="AJ1426" t="str">
        <f t="shared" si="135"/>
        <v>Good</v>
      </c>
      <c r="AK1426" t="str">
        <f t="shared" si="136"/>
        <v>Satisfied</v>
      </c>
      <c r="AL1426">
        <f t="shared" si="137"/>
        <v>61176</v>
      </c>
    </row>
    <row r="1427" spans="1:38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132"/>
        <v>26-35</v>
      </c>
      <c r="AH1427" t="str">
        <f t="shared" si="133"/>
        <v>Mid (3-6K)</v>
      </c>
      <c r="AI1427" t="str">
        <f t="shared" si="134"/>
        <v>6-10 yrs</v>
      </c>
      <c r="AJ1427" t="str">
        <f t="shared" si="135"/>
        <v>Good</v>
      </c>
      <c r="AK1427" t="str">
        <f t="shared" si="136"/>
        <v>Very Satisfied</v>
      </c>
      <c r="AL1427">
        <f t="shared" si="137"/>
        <v>58536</v>
      </c>
    </row>
    <row r="1428" spans="1:38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132"/>
        <v>26-35</v>
      </c>
      <c r="AH1428" t="str">
        <f t="shared" si="133"/>
        <v>Low (0-3K)</v>
      </c>
      <c r="AI1428" t="str">
        <f t="shared" si="134"/>
        <v>6-10 yrs</v>
      </c>
      <c r="AJ1428" t="str">
        <f t="shared" si="135"/>
        <v>Good</v>
      </c>
      <c r="AK1428" t="str">
        <f t="shared" si="136"/>
        <v>Dissatisfied</v>
      </c>
      <c r="AL1428">
        <f t="shared" si="137"/>
        <v>34044</v>
      </c>
    </row>
    <row r="1429" spans="1:38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132"/>
        <v>36-45</v>
      </c>
      <c r="AH1429" t="str">
        <f t="shared" si="133"/>
        <v>Low (0-3K)</v>
      </c>
      <c r="AI1429" t="str">
        <f t="shared" si="134"/>
        <v>0-2 yrs</v>
      </c>
      <c r="AJ1429" t="str">
        <f t="shared" si="135"/>
        <v>Good</v>
      </c>
      <c r="AK1429" t="str">
        <f t="shared" si="136"/>
        <v>Very Satisfied</v>
      </c>
      <c r="AL1429">
        <f t="shared" si="137"/>
        <v>28872</v>
      </c>
    </row>
    <row r="1430" spans="1:38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132"/>
        <v>26-35</v>
      </c>
      <c r="AH1430" t="str">
        <f t="shared" si="133"/>
        <v>Low (0-3K)</v>
      </c>
      <c r="AI1430" t="str">
        <f t="shared" si="134"/>
        <v>0-2 yrs</v>
      </c>
      <c r="AJ1430" t="str">
        <f t="shared" si="135"/>
        <v>Good</v>
      </c>
      <c r="AK1430" t="str">
        <f t="shared" si="136"/>
        <v>Dissatisfied</v>
      </c>
      <c r="AL1430">
        <f t="shared" si="137"/>
        <v>27228</v>
      </c>
    </row>
    <row r="1431" spans="1:38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132"/>
        <v>36-45</v>
      </c>
      <c r="AH1431" t="str">
        <f t="shared" si="133"/>
        <v>Mid (3-6K)</v>
      </c>
      <c r="AI1431" t="str">
        <f t="shared" si="134"/>
        <v>6-10 yrs</v>
      </c>
      <c r="AJ1431" t="str">
        <f t="shared" si="135"/>
        <v>Good</v>
      </c>
      <c r="AK1431" t="str">
        <f t="shared" si="136"/>
        <v>Very Satisfied</v>
      </c>
      <c r="AL1431">
        <f t="shared" si="137"/>
        <v>49296</v>
      </c>
    </row>
    <row r="1432" spans="1:38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132"/>
        <v>36-45</v>
      </c>
      <c r="AH1432" t="str">
        <f t="shared" si="133"/>
        <v>Very High (10K+)</v>
      </c>
      <c r="AI1432" t="str">
        <f t="shared" si="134"/>
        <v>10+ yrs</v>
      </c>
      <c r="AJ1432" t="str">
        <f t="shared" si="135"/>
        <v>Good</v>
      </c>
      <c r="AK1432" t="str">
        <f t="shared" si="136"/>
        <v>Satisfied</v>
      </c>
      <c r="AL1432">
        <f t="shared" si="137"/>
        <v>158472</v>
      </c>
    </row>
    <row r="1433" spans="1:38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132"/>
        <v>26-35</v>
      </c>
      <c r="AH1433" t="str">
        <f t="shared" si="133"/>
        <v>Very High (10K+)</v>
      </c>
      <c r="AI1433" t="str">
        <f t="shared" si="134"/>
        <v>10+ yrs</v>
      </c>
      <c r="AJ1433" t="str">
        <f t="shared" si="135"/>
        <v>Good</v>
      </c>
      <c r="AK1433" t="str">
        <f t="shared" si="136"/>
        <v>Very Satisfied</v>
      </c>
      <c r="AL1433">
        <f t="shared" si="137"/>
        <v>125064</v>
      </c>
    </row>
    <row r="1434" spans="1:38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132"/>
        <v>36-45</v>
      </c>
      <c r="AH1434" t="str">
        <f t="shared" si="133"/>
        <v>Very High (10K+)</v>
      </c>
      <c r="AI1434" t="str">
        <f t="shared" si="134"/>
        <v>10+ yrs</v>
      </c>
      <c r="AJ1434" t="str">
        <f t="shared" si="135"/>
        <v>Excellent</v>
      </c>
      <c r="AK1434" t="str">
        <f t="shared" si="136"/>
        <v>Very Satisfied</v>
      </c>
      <c r="AL1434">
        <f t="shared" si="137"/>
        <v>164928</v>
      </c>
    </row>
    <row r="1435" spans="1:38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132"/>
        <v>20-25</v>
      </c>
      <c r="AH1435" t="str">
        <f t="shared" si="133"/>
        <v>Mid (3-6K)</v>
      </c>
      <c r="AI1435" t="str">
        <f t="shared" si="134"/>
        <v>3-5 yrs</v>
      </c>
      <c r="AJ1435" t="str">
        <f t="shared" si="135"/>
        <v>Excellent</v>
      </c>
      <c r="AK1435" t="str">
        <f t="shared" si="136"/>
        <v>Satisfied</v>
      </c>
      <c r="AL1435">
        <f t="shared" si="137"/>
        <v>58884</v>
      </c>
    </row>
    <row r="1436" spans="1:38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132"/>
        <v>46+</v>
      </c>
      <c r="AH1436" t="str">
        <f t="shared" si="133"/>
        <v>Mid (3-6K)</v>
      </c>
      <c r="AI1436" t="str">
        <f t="shared" si="134"/>
        <v>6-10 yrs</v>
      </c>
      <c r="AJ1436" t="str">
        <f t="shared" si="135"/>
        <v>Good</v>
      </c>
      <c r="AK1436" t="str">
        <f t="shared" si="136"/>
        <v>Very Satisfied</v>
      </c>
      <c r="AL1436">
        <f t="shared" si="137"/>
        <v>41784</v>
      </c>
    </row>
    <row r="1437" spans="1:38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132"/>
        <v>36-45</v>
      </c>
      <c r="AH1437" t="str">
        <f t="shared" si="133"/>
        <v>Low (0-3K)</v>
      </c>
      <c r="AI1437" t="str">
        <f t="shared" si="134"/>
        <v>3-5 yrs</v>
      </c>
      <c r="AJ1437" t="str">
        <f t="shared" si="135"/>
        <v>Good</v>
      </c>
      <c r="AK1437" t="str">
        <f t="shared" si="136"/>
        <v>Very Satisfied</v>
      </c>
      <c r="AL1437">
        <f t="shared" si="137"/>
        <v>29232</v>
      </c>
    </row>
    <row r="1438" spans="1:38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132"/>
        <v>20-25</v>
      </c>
      <c r="AH1438" t="str">
        <f t="shared" si="133"/>
        <v>Low (0-3K)</v>
      </c>
      <c r="AI1438" t="str">
        <f t="shared" si="134"/>
        <v>0-2 yrs</v>
      </c>
      <c r="AJ1438" t="str">
        <f t="shared" si="135"/>
        <v>Good</v>
      </c>
      <c r="AK1438" t="str">
        <f t="shared" si="136"/>
        <v>Very Dissatisfied</v>
      </c>
      <c r="AL1438">
        <f t="shared" si="137"/>
        <v>28560</v>
      </c>
    </row>
    <row r="1439" spans="1:38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132"/>
        <v>36-45</v>
      </c>
      <c r="AH1439" t="str">
        <f t="shared" si="133"/>
        <v>Very High (10K+)</v>
      </c>
      <c r="AI1439" t="str">
        <f t="shared" si="134"/>
        <v>6-10 yrs</v>
      </c>
      <c r="AJ1439" t="str">
        <f t="shared" si="135"/>
        <v>Good</v>
      </c>
      <c r="AK1439" t="str">
        <f t="shared" si="136"/>
        <v>Very Satisfied</v>
      </c>
      <c r="AL1439">
        <f t="shared" si="137"/>
        <v>233172</v>
      </c>
    </row>
    <row r="1440" spans="1:38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132"/>
        <v>20-25</v>
      </c>
      <c r="AH1440" t="str">
        <f t="shared" si="133"/>
        <v>Low (0-3K)</v>
      </c>
      <c r="AI1440" t="str">
        <f t="shared" si="134"/>
        <v>0-2 yrs</v>
      </c>
      <c r="AJ1440" t="str">
        <f t="shared" si="135"/>
        <v>Good</v>
      </c>
      <c r="AK1440" t="str">
        <f t="shared" si="136"/>
        <v>Very Dissatisfied</v>
      </c>
      <c r="AL1440">
        <f t="shared" si="137"/>
        <v>21480</v>
      </c>
    </row>
    <row r="1441" spans="1:38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132"/>
        <v>36-45</v>
      </c>
      <c r="AH1441" t="str">
        <f t="shared" si="133"/>
        <v>High (6-10K)</v>
      </c>
      <c r="AI1441" t="str">
        <f t="shared" si="134"/>
        <v>6-10 yrs</v>
      </c>
      <c r="AJ1441" t="str">
        <f t="shared" si="135"/>
        <v>Good</v>
      </c>
      <c r="AK1441" t="str">
        <f t="shared" si="136"/>
        <v>Very Satisfied</v>
      </c>
      <c r="AL1441">
        <f t="shared" si="137"/>
        <v>91728</v>
      </c>
    </row>
    <row r="1442" spans="1:38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132"/>
        <v>36-45</v>
      </c>
      <c r="AH1442" t="str">
        <f t="shared" si="133"/>
        <v>Mid (3-6K)</v>
      </c>
      <c r="AI1442" t="str">
        <f t="shared" si="134"/>
        <v>3-5 yrs</v>
      </c>
      <c r="AJ1442" t="str">
        <f t="shared" si="135"/>
        <v>Good</v>
      </c>
      <c r="AK1442" t="str">
        <f t="shared" si="136"/>
        <v>Dissatisfied</v>
      </c>
      <c r="AL1442">
        <f t="shared" si="137"/>
        <v>61572</v>
      </c>
    </row>
    <row r="1443" spans="1:38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132"/>
        <v>46+</v>
      </c>
      <c r="AH1443" t="str">
        <f t="shared" si="133"/>
        <v>High (6-10K)</v>
      </c>
      <c r="AI1443" t="str">
        <f t="shared" si="134"/>
        <v>10+ yrs</v>
      </c>
      <c r="AJ1443" t="str">
        <f t="shared" si="135"/>
        <v>Excellent</v>
      </c>
      <c r="AK1443" t="str">
        <f t="shared" si="136"/>
        <v>Satisfied</v>
      </c>
      <c r="AL1443">
        <f t="shared" si="137"/>
        <v>75672</v>
      </c>
    </row>
    <row r="1444" spans="1:38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132"/>
        <v>26-35</v>
      </c>
      <c r="AH1444" t="str">
        <f t="shared" si="133"/>
        <v>Mid (3-6K)</v>
      </c>
      <c r="AI1444" t="str">
        <f t="shared" si="134"/>
        <v>0-2 yrs</v>
      </c>
      <c r="AJ1444" t="str">
        <f t="shared" si="135"/>
        <v>Good</v>
      </c>
      <c r="AK1444" t="str">
        <f t="shared" si="136"/>
        <v>Very Satisfied</v>
      </c>
      <c r="AL1444">
        <f t="shared" si="137"/>
        <v>57444</v>
      </c>
    </row>
    <row r="1445" spans="1:38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132"/>
        <v>36-45</v>
      </c>
      <c r="AH1445" t="str">
        <f t="shared" si="133"/>
        <v>Very High (10K+)</v>
      </c>
      <c r="AI1445" t="str">
        <f t="shared" si="134"/>
        <v>10+ yrs</v>
      </c>
      <c r="AJ1445" t="str">
        <f t="shared" si="135"/>
        <v>Good</v>
      </c>
      <c r="AK1445" t="str">
        <f t="shared" si="136"/>
        <v>Satisfied</v>
      </c>
      <c r="AL1445">
        <f t="shared" si="137"/>
        <v>226560</v>
      </c>
    </row>
    <row r="1446" spans="1:38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132"/>
        <v>46+</v>
      </c>
      <c r="AH1446" t="str">
        <f t="shared" si="133"/>
        <v>Low (0-3K)</v>
      </c>
      <c r="AI1446" t="str">
        <f t="shared" si="134"/>
        <v>6-10 yrs</v>
      </c>
      <c r="AJ1446" t="str">
        <f t="shared" si="135"/>
        <v>Good</v>
      </c>
      <c r="AK1446" t="str">
        <f t="shared" si="136"/>
        <v>Satisfied</v>
      </c>
      <c r="AL1446">
        <f t="shared" si="137"/>
        <v>28068</v>
      </c>
    </row>
    <row r="1447" spans="1:38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132"/>
        <v>36-45</v>
      </c>
      <c r="AH1447" t="str">
        <f t="shared" si="133"/>
        <v>Very High (10K+)</v>
      </c>
      <c r="AI1447" t="str">
        <f t="shared" si="134"/>
        <v>10+ yrs</v>
      </c>
      <c r="AJ1447" t="str">
        <f t="shared" si="135"/>
        <v>Excellent</v>
      </c>
      <c r="AK1447" t="str">
        <f t="shared" si="136"/>
        <v>Dissatisfied</v>
      </c>
      <c r="AL1447">
        <f t="shared" si="137"/>
        <v>162840</v>
      </c>
    </row>
    <row r="1448" spans="1:38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132"/>
        <v>26-35</v>
      </c>
      <c r="AH1448" t="str">
        <f t="shared" si="133"/>
        <v>High (6-10K)</v>
      </c>
      <c r="AI1448" t="str">
        <f t="shared" si="134"/>
        <v>6-10 yrs</v>
      </c>
      <c r="AJ1448" t="str">
        <f t="shared" si="135"/>
        <v>Excellent</v>
      </c>
      <c r="AK1448" t="str">
        <f t="shared" si="136"/>
        <v>Satisfied</v>
      </c>
      <c r="AL1448">
        <f t="shared" si="137"/>
        <v>80544</v>
      </c>
    </row>
    <row r="1449" spans="1:38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132"/>
        <v>36-45</v>
      </c>
      <c r="AH1449" t="str">
        <f t="shared" si="133"/>
        <v>Mid (3-6K)</v>
      </c>
      <c r="AI1449" t="str">
        <f t="shared" si="134"/>
        <v>10+ yrs</v>
      </c>
      <c r="AJ1449" t="str">
        <f t="shared" si="135"/>
        <v>Excellent</v>
      </c>
      <c r="AK1449" t="str">
        <f t="shared" si="136"/>
        <v>Very Satisfied</v>
      </c>
      <c r="AL1449">
        <f t="shared" si="137"/>
        <v>64872</v>
      </c>
    </row>
    <row r="1450" spans="1:38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132"/>
        <v>36-45</v>
      </c>
      <c r="AH1450" t="str">
        <f t="shared" si="133"/>
        <v>High (6-10K)</v>
      </c>
      <c r="AI1450" t="str">
        <f t="shared" si="134"/>
        <v>3-5 yrs</v>
      </c>
      <c r="AJ1450" t="str">
        <f t="shared" si="135"/>
        <v>Good</v>
      </c>
      <c r="AK1450" t="str">
        <f t="shared" si="136"/>
        <v>Dissatisfied</v>
      </c>
      <c r="AL1450">
        <f t="shared" si="137"/>
        <v>107256</v>
      </c>
    </row>
    <row r="1451" spans="1:38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132"/>
        <v>26-35</v>
      </c>
      <c r="AH1451" t="str">
        <f t="shared" si="133"/>
        <v>Low (0-3K)</v>
      </c>
      <c r="AI1451" t="str">
        <f t="shared" si="134"/>
        <v>3-5 yrs</v>
      </c>
      <c r="AJ1451" t="str">
        <f t="shared" si="135"/>
        <v>Good</v>
      </c>
      <c r="AK1451" t="str">
        <f t="shared" si="136"/>
        <v>Very Dissatisfied</v>
      </c>
      <c r="AL1451">
        <f t="shared" si="137"/>
        <v>29268</v>
      </c>
    </row>
    <row r="1452" spans="1:38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132"/>
        <v>26-35</v>
      </c>
      <c r="AH1452" t="str">
        <f t="shared" si="133"/>
        <v>High (6-10K)</v>
      </c>
      <c r="AI1452" t="str">
        <f t="shared" si="134"/>
        <v>6-10 yrs</v>
      </c>
      <c r="AJ1452" t="str">
        <f t="shared" si="135"/>
        <v>Good</v>
      </c>
      <c r="AK1452" t="str">
        <f t="shared" si="136"/>
        <v>Very Satisfied</v>
      </c>
      <c r="AL1452">
        <f t="shared" si="137"/>
        <v>106044</v>
      </c>
    </row>
    <row r="1453" spans="1:38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132"/>
        <v>36-45</v>
      </c>
      <c r="AH1453" t="str">
        <f t="shared" si="133"/>
        <v>Mid (3-6K)</v>
      </c>
      <c r="AI1453" t="str">
        <f t="shared" si="134"/>
        <v>6-10 yrs</v>
      </c>
      <c r="AJ1453" t="str">
        <f t="shared" si="135"/>
        <v>Good</v>
      </c>
      <c r="AK1453" t="str">
        <f t="shared" si="136"/>
        <v>Very Satisfied</v>
      </c>
      <c r="AL1453">
        <f t="shared" si="137"/>
        <v>64116</v>
      </c>
    </row>
    <row r="1454" spans="1:38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132"/>
        <v>46+</v>
      </c>
      <c r="AH1454" t="str">
        <f t="shared" si="133"/>
        <v>High (6-10K)</v>
      </c>
      <c r="AI1454" t="str">
        <f t="shared" si="134"/>
        <v>6-10 yrs</v>
      </c>
      <c r="AJ1454" t="str">
        <f t="shared" si="135"/>
        <v>Good</v>
      </c>
      <c r="AK1454" t="str">
        <f t="shared" si="136"/>
        <v>Satisfied</v>
      </c>
      <c r="AL1454">
        <f t="shared" si="137"/>
        <v>80736</v>
      </c>
    </row>
    <row r="1455" spans="1:38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132"/>
        <v>36-45</v>
      </c>
      <c r="AH1455" t="str">
        <f t="shared" si="133"/>
        <v>High (6-10K)</v>
      </c>
      <c r="AI1455" t="str">
        <f t="shared" si="134"/>
        <v>6-10 yrs</v>
      </c>
      <c r="AJ1455" t="str">
        <f t="shared" si="135"/>
        <v>Good</v>
      </c>
      <c r="AK1455" t="str">
        <f t="shared" si="136"/>
        <v>Very Satisfied</v>
      </c>
      <c r="AL1455">
        <f t="shared" si="137"/>
        <v>79824</v>
      </c>
    </row>
    <row r="1456" spans="1:38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132"/>
        <v>36-45</v>
      </c>
      <c r="AH1456" t="str">
        <f t="shared" si="133"/>
        <v>Mid (3-6K)</v>
      </c>
      <c r="AI1456" t="str">
        <f t="shared" si="134"/>
        <v>3-5 yrs</v>
      </c>
      <c r="AJ1456" t="str">
        <f t="shared" si="135"/>
        <v>Good</v>
      </c>
      <c r="AK1456" t="str">
        <f t="shared" si="136"/>
        <v>Satisfied</v>
      </c>
      <c r="AL1456">
        <f t="shared" si="137"/>
        <v>58200</v>
      </c>
    </row>
    <row r="1457" spans="1:38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132"/>
        <v>36-45</v>
      </c>
      <c r="AH1457" t="str">
        <f t="shared" si="133"/>
        <v>Low (0-3K)</v>
      </c>
      <c r="AI1457" t="str">
        <f t="shared" si="134"/>
        <v>0-2 yrs</v>
      </c>
      <c r="AJ1457" t="str">
        <f t="shared" si="135"/>
        <v>Good</v>
      </c>
      <c r="AK1457" t="str">
        <f t="shared" si="136"/>
        <v>Satisfied</v>
      </c>
      <c r="AL1457">
        <f t="shared" si="137"/>
        <v>33708</v>
      </c>
    </row>
    <row r="1458" spans="1:38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132"/>
        <v>26-35</v>
      </c>
      <c r="AH1458" t="str">
        <f t="shared" si="133"/>
        <v>Mid (3-6K)</v>
      </c>
      <c r="AI1458" t="str">
        <f t="shared" si="134"/>
        <v>6-10 yrs</v>
      </c>
      <c r="AJ1458" t="str">
        <f t="shared" si="135"/>
        <v>Good</v>
      </c>
      <c r="AK1458" t="str">
        <f t="shared" si="136"/>
        <v>Satisfied</v>
      </c>
      <c r="AL1458">
        <f t="shared" si="137"/>
        <v>68268</v>
      </c>
    </row>
    <row r="1459" spans="1:38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132"/>
        <v>36-45</v>
      </c>
      <c r="AH1459" t="str">
        <f t="shared" si="133"/>
        <v>Low (0-3K)</v>
      </c>
      <c r="AI1459" t="str">
        <f t="shared" si="134"/>
        <v>3-5 yrs</v>
      </c>
      <c r="AJ1459" t="str">
        <f t="shared" si="135"/>
        <v>Good</v>
      </c>
      <c r="AK1459" t="str">
        <f t="shared" si="136"/>
        <v>Satisfied</v>
      </c>
      <c r="AL1459">
        <f t="shared" si="137"/>
        <v>24012</v>
      </c>
    </row>
    <row r="1460" spans="1:38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132"/>
        <v>26-35</v>
      </c>
      <c r="AH1460" t="str">
        <f t="shared" si="133"/>
        <v>Low (0-3K)</v>
      </c>
      <c r="AI1460" t="str">
        <f t="shared" si="134"/>
        <v>3-5 yrs</v>
      </c>
      <c r="AJ1460" t="str">
        <f t="shared" si="135"/>
        <v>Good</v>
      </c>
      <c r="AK1460" t="str">
        <f t="shared" si="136"/>
        <v>Very Satisfied</v>
      </c>
      <c r="AL1460">
        <f t="shared" si="137"/>
        <v>35724</v>
      </c>
    </row>
    <row r="1461" spans="1:38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132"/>
        <v>26-35</v>
      </c>
      <c r="AH1461" t="str">
        <f t="shared" si="133"/>
        <v>Mid (3-6K)</v>
      </c>
      <c r="AI1461" t="str">
        <f t="shared" si="134"/>
        <v>3-5 yrs</v>
      </c>
      <c r="AJ1461" t="str">
        <f t="shared" si="135"/>
        <v>Good</v>
      </c>
      <c r="AK1461" t="str">
        <f t="shared" si="136"/>
        <v>Dissatisfied</v>
      </c>
      <c r="AL1461">
        <f t="shared" si="137"/>
        <v>48300</v>
      </c>
    </row>
    <row r="1462" spans="1:38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132"/>
        <v>26-35</v>
      </c>
      <c r="AH1462" t="str">
        <f t="shared" si="133"/>
        <v>Mid (3-6K)</v>
      </c>
      <c r="AI1462" t="str">
        <f t="shared" si="134"/>
        <v>3-5 yrs</v>
      </c>
      <c r="AJ1462" t="str">
        <f t="shared" si="135"/>
        <v>Good</v>
      </c>
      <c r="AK1462" t="str">
        <f t="shared" si="136"/>
        <v>Very Dissatisfied</v>
      </c>
      <c r="AL1462">
        <f t="shared" si="137"/>
        <v>45420</v>
      </c>
    </row>
    <row r="1463" spans="1:38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132"/>
        <v>46+</v>
      </c>
      <c r="AH1463" t="str">
        <f t="shared" si="133"/>
        <v>Very High (10K+)</v>
      </c>
      <c r="AI1463" t="str">
        <f t="shared" si="134"/>
        <v>3-5 yrs</v>
      </c>
      <c r="AJ1463" t="str">
        <f t="shared" si="135"/>
        <v>Good</v>
      </c>
      <c r="AK1463" t="str">
        <f t="shared" si="136"/>
        <v>Very Dissatisfied</v>
      </c>
      <c r="AL1463">
        <f t="shared" si="137"/>
        <v>130248</v>
      </c>
    </row>
    <row r="1464" spans="1:38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132"/>
        <v>36-45</v>
      </c>
      <c r="AH1464" t="str">
        <f t="shared" si="133"/>
        <v>Very High (10K+)</v>
      </c>
      <c r="AI1464" t="str">
        <f t="shared" si="134"/>
        <v>10+ yrs</v>
      </c>
      <c r="AJ1464" t="str">
        <f t="shared" si="135"/>
        <v>Good</v>
      </c>
      <c r="AK1464" t="str">
        <f t="shared" si="136"/>
        <v>Very Satisfied</v>
      </c>
      <c r="AL1464">
        <f t="shared" si="137"/>
        <v>144372</v>
      </c>
    </row>
    <row r="1465" spans="1:38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132"/>
        <v>26-35</v>
      </c>
      <c r="AH1465" t="str">
        <f t="shared" si="133"/>
        <v>High (6-10K)</v>
      </c>
      <c r="AI1465" t="str">
        <f t="shared" si="134"/>
        <v>6-10 yrs</v>
      </c>
      <c r="AJ1465" t="str">
        <f t="shared" si="135"/>
        <v>Good</v>
      </c>
      <c r="AK1465" t="str">
        <f t="shared" si="136"/>
        <v>Very Dissatisfied</v>
      </c>
      <c r="AL1465">
        <f t="shared" si="137"/>
        <v>119232</v>
      </c>
    </row>
    <row r="1466" spans="1:38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132"/>
        <v>26-35</v>
      </c>
      <c r="AH1466" t="str">
        <f t="shared" si="133"/>
        <v>Low (0-3K)</v>
      </c>
      <c r="AI1466" t="str">
        <f t="shared" si="134"/>
        <v>3-5 yrs</v>
      </c>
      <c r="AJ1466" t="str">
        <f t="shared" si="135"/>
        <v>Good</v>
      </c>
      <c r="AK1466" t="str">
        <f t="shared" si="136"/>
        <v>Satisfied</v>
      </c>
      <c r="AL1466">
        <f t="shared" si="137"/>
        <v>35592</v>
      </c>
    </row>
    <row r="1467" spans="1:38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132"/>
        <v>36-45</v>
      </c>
      <c r="AH1467" t="str">
        <f t="shared" si="133"/>
        <v>Low (0-3K)</v>
      </c>
      <c r="AI1467" t="str">
        <f t="shared" si="134"/>
        <v>3-5 yrs</v>
      </c>
      <c r="AJ1467" t="str">
        <f t="shared" si="135"/>
        <v>Good</v>
      </c>
      <c r="AK1467" t="str">
        <f t="shared" si="136"/>
        <v>Very Satisfied</v>
      </c>
      <c r="AL1467">
        <f t="shared" si="137"/>
        <v>30852</v>
      </c>
    </row>
    <row r="1468" spans="1:38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132"/>
        <v>36-45</v>
      </c>
      <c r="AH1468" t="str">
        <f t="shared" si="133"/>
        <v>High (6-10K)</v>
      </c>
      <c r="AI1468" t="str">
        <f t="shared" si="134"/>
        <v>6-10 yrs</v>
      </c>
      <c r="AJ1468" t="str">
        <f t="shared" si="135"/>
        <v>Good</v>
      </c>
      <c r="AK1468" t="str">
        <f t="shared" si="136"/>
        <v>Very Dissatisfied</v>
      </c>
      <c r="AL1468">
        <f t="shared" si="137"/>
        <v>119892</v>
      </c>
    </row>
    <row r="1469" spans="1:38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132"/>
        <v>26-35</v>
      </c>
      <c r="AH1469" t="str">
        <f t="shared" si="133"/>
        <v>High (6-10K)</v>
      </c>
      <c r="AI1469" t="str">
        <f t="shared" si="134"/>
        <v>6-10 yrs</v>
      </c>
      <c r="AJ1469" t="str">
        <f t="shared" si="135"/>
        <v>Excellent</v>
      </c>
      <c r="AK1469" t="str">
        <f t="shared" si="136"/>
        <v>Dissatisfied</v>
      </c>
      <c r="AL1469">
        <f t="shared" si="137"/>
        <v>73704</v>
      </c>
    </row>
    <row r="1470" spans="1:38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132"/>
        <v>46+</v>
      </c>
      <c r="AH1470" t="str">
        <f t="shared" si="133"/>
        <v>Mid (3-6K)</v>
      </c>
      <c r="AI1470" t="str">
        <f t="shared" si="134"/>
        <v>6-10 yrs</v>
      </c>
      <c r="AJ1470" t="str">
        <f t="shared" si="135"/>
        <v>Good</v>
      </c>
      <c r="AK1470" t="str">
        <f t="shared" si="136"/>
        <v>Dissatisfied</v>
      </c>
      <c r="AL1470">
        <f t="shared" si="137"/>
        <v>64680</v>
      </c>
    </row>
    <row r="1471" spans="1:38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132"/>
        <v>26-35</v>
      </c>
      <c r="AH1471" t="str">
        <f t="shared" si="133"/>
        <v>Mid (3-6K)</v>
      </c>
      <c r="AI1471" t="str">
        <f t="shared" si="134"/>
        <v>3-5 yrs</v>
      </c>
      <c r="AJ1471" t="str">
        <f t="shared" si="135"/>
        <v>Good</v>
      </c>
      <c r="AK1471" t="str">
        <f t="shared" si="136"/>
        <v>Satisfied</v>
      </c>
      <c r="AL1471">
        <f t="shared" si="137"/>
        <v>52848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7C03-B901-4AE5-BB1E-59144E0A7B29}">
  <dimension ref="A3:B7"/>
  <sheetViews>
    <sheetView workbookViewId="0">
      <selection activeCell="F6" sqref="F6"/>
    </sheetView>
  </sheetViews>
  <sheetFormatPr defaultRowHeight="14.4"/>
  <cols>
    <col min="1" max="1" width="24.5546875" bestFit="1" customWidth="1"/>
    <col min="2" max="2" width="22.88671875" bestFit="1" customWidth="1"/>
  </cols>
  <sheetData>
    <row r="3" spans="1:2">
      <c r="A3" s="2" t="s">
        <v>68</v>
      </c>
      <c r="B3" t="s">
        <v>80</v>
      </c>
    </row>
    <row r="4" spans="1:2">
      <c r="A4" s="3" t="s">
        <v>61</v>
      </c>
      <c r="B4">
        <v>6654.5079365079364</v>
      </c>
    </row>
    <row r="5" spans="1:2">
      <c r="A5" s="3" t="s">
        <v>45</v>
      </c>
      <c r="B5">
        <v>6281.2528616024974</v>
      </c>
    </row>
    <row r="6" spans="1:2">
      <c r="A6" s="3" t="s">
        <v>37</v>
      </c>
      <c r="B6">
        <v>6959.17264573991</v>
      </c>
    </row>
    <row r="7" spans="1:2">
      <c r="A7" s="3" t="s">
        <v>69</v>
      </c>
      <c r="B7">
        <v>6502.931292517007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F289-0AF7-4D80-AB38-A0BD3475B13C}">
  <dimension ref="A3:D13"/>
  <sheetViews>
    <sheetView workbookViewId="0">
      <selection activeCell="B23" sqref="B23"/>
    </sheetView>
  </sheetViews>
  <sheetFormatPr defaultRowHeight="14.4"/>
  <cols>
    <col min="1" max="1" width="12.5546875" bestFit="1" customWidth="1"/>
    <col min="2" max="2" width="11.44140625" bestFit="1" customWidth="1"/>
    <col min="3" max="3" width="8.44140625" bestFit="1" customWidth="1"/>
    <col min="4" max="5" width="10.77734375" bestFit="1" customWidth="1"/>
    <col min="6" max="6" width="27.21875" bestFit="1" customWidth="1"/>
    <col min="7" max="7" width="23" bestFit="1" customWidth="1"/>
    <col min="8" max="8" width="32" bestFit="1" customWidth="1"/>
    <col min="9" max="9" width="27.77734375" bestFit="1" customWidth="1"/>
    <col min="10" max="10" width="10.77734375" bestFit="1" customWidth="1"/>
  </cols>
  <sheetData>
    <row r="3" spans="1:4">
      <c r="A3" s="2" t="s">
        <v>76</v>
      </c>
      <c r="B3" s="2" t="s">
        <v>71</v>
      </c>
    </row>
    <row r="4" spans="1:4">
      <c r="A4" s="2" t="s">
        <v>68</v>
      </c>
      <c r="B4" t="s">
        <v>77</v>
      </c>
      <c r="C4" t="s">
        <v>79</v>
      </c>
      <c r="D4" t="s">
        <v>69</v>
      </c>
    </row>
    <row r="5" spans="1:4">
      <c r="A5" s="3" t="s">
        <v>61</v>
      </c>
      <c r="B5">
        <v>54</v>
      </c>
      <c r="C5">
        <v>9</v>
      </c>
      <c r="D5">
        <v>63</v>
      </c>
    </row>
    <row r="6" spans="1:4">
      <c r="A6" s="3" t="s">
        <v>45</v>
      </c>
      <c r="B6">
        <v>805</v>
      </c>
      <c r="C6">
        <v>156</v>
      </c>
      <c r="D6">
        <v>961</v>
      </c>
    </row>
    <row r="7" spans="1:4">
      <c r="A7" s="3" t="s">
        <v>37</v>
      </c>
      <c r="B7">
        <v>385</v>
      </c>
      <c r="C7">
        <v>61</v>
      </c>
      <c r="D7">
        <v>446</v>
      </c>
    </row>
    <row r="8" spans="1:4">
      <c r="A8" s="3" t="s">
        <v>69</v>
      </c>
      <c r="B8">
        <v>1244</v>
      </c>
      <c r="C8">
        <v>226</v>
      </c>
      <c r="D8">
        <v>1470</v>
      </c>
    </row>
    <row r="12" spans="1:4">
      <c r="A12" t="s">
        <v>77</v>
      </c>
      <c r="B12">
        <v>1244</v>
      </c>
    </row>
    <row r="13" spans="1:4">
      <c r="A13" t="s">
        <v>79</v>
      </c>
      <c r="B13">
        <v>226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3E81-FD0C-45EA-B4CF-1FC0B1C8EA8E}">
  <dimension ref="A3:B8"/>
  <sheetViews>
    <sheetView workbookViewId="0">
      <selection activeCell="A4" sqref="A4:B7"/>
    </sheetView>
  </sheetViews>
  <sheetFormatPr defaultRowHeight="14.4"/>
  <cols>
    <col min="1" max="1" width="12.5546875" bestFit="1" customWidth="1"/>
    <col min="2" max="2" width="24.33203125" bestFit="1" customWidth="1"/>
  </cols>
  <sheetData>
    <row r="3" spans="1:2">
      <c r="A3" s="2" t="s">
        <v>62</v>
      </c>
      <c r="B3" t="s">
        <v>76</v>
      </c>
    </row>
    <row r="4" spans="1:2">
      <c r="A4" s="3" t="s">
        <v>72</v>
      </c>
      <c r="B4">
        <v>123</v>
      </c>
    </row>
    <row r="5" spans="1:2">
      <c r="A5" s="3" t="s">
        <v>73</v>
      </c>
      <c r="B5">
        <v>606</v>
      </c>
    </row>
    <row r="6" spans="1:2">
      <c r="A6" s="3" t="s">
        <v>74</v>
      </c>
      <c r="B6">
        <v>468</v>
      </c>
    </row>
    <row r="7" spans="1:2">
      <c r="A7" s="3" t="s">
        <v>75</v>
      </c>
      <c r="B7">
        <v>273</v>
      </c>
    </row>
    <row r="8" spans="1:2">
      <c r="A8" s="3" t="s">
        <v>69</v>
      </c>
      <c r="B8">
        <v>1470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ECE3-3234-4AB8-962E-D9C0BDB244B3}">
  <dimension ref="A3:D10"/>
  <sheetViews>
    <sheetView workbookViewId="0">
      <selection activeCell="C16" sqref="C16"/>
    </sheetView>
  </sheetViews>
  <sheetFormatPr defaultRowHeight="14.4"/>
  <cols>
    <col min="1" max="1" width="24.44140625" bestFit="1" customWidth="1"/>
    <col min="2" max="2" width="15.5546875" bestFit="1" customWidth="1"/>
    <col min="3" max="3" width="6" bestFit="1" customWidth="1"/>
    <col min="4" max="4" width="10.77734375" bestFit="1" customWidth="1"/>
  </cols>
  <sheetData>
    <row r="3" spans="1:4">
      <c r="A3" s="2" t="s">
        <v>70</v>
      </c>
      <c r="B3" s="2" t="s">
        <v>71</v>
      </c>
    </row>
    <row r="4" spans="1:4">
      <c r="A4" s="2" t="s">
        <v>68</v>
      </c>
      <c r="B4" t="s">
        <v>39</v>
      </c>
      <c r="C4" t="s">
        <v>46</v>
      </c>
      <c r="D4" t="s">
        <v>69</v>
      </c>
    </row>
    <row r="5" spans="1:4">
      <c r="A5" s="3">
        <v>1</v>
      </c>
      <c r="B5" s="6">
        <v>2780.4874371859296</v>
      </c>
      <c r="C5" s="6">
        <v>2790.6337209302324</v>
      </c>
      <c r="D5" s="6">
        <v>2786.9152854511972</v>
      </c>
    </row>
    <row r="6" spans="1:4">
      <c r="A6" s="3">
        <v>2</v>
      </c>
      <c r="B6" s="6">
        <v>5435.3272727272724</v>
      </c>
      <c r="C6" s="6">
        <v>5549.1847133757965</v>
      </c>
      <c r="D6" s="6">
        <v>5502.2771535580523</v>
      </c>
    </row>
    <row r="7" spans="1:4">
      <c r="A7" s="3">
        <v>3</v>
      </c>
      <c r="B7" s="6">
        <v>9962.7021276595751</v>
      </c>
      <c r="C7" s="6">
        <v>9706.9919354838712</v>
      </c>
      <c r="D7" s="6">
        <v>9817.2522935779816</v>
      </c>
    </row>
    <row r="8" spans="1:4">
      <c r="A8" s="3">
        <v>4</v>
      </c>
      <c r="B8" s="6">
        <v>15431.372549019608</v>
      </c>
      <c r="C8" s="6">
        <v>15570.927272727273</v>
      </c>
      <c r="D8" s="6">
        <v>15503.783018867925</v>
      </c>
    </row>
    <row r="9" spans="1:4">
      <c r="A9" s="3">
        <v>5</v>
      </c>
      <c r="B9" s="6">
        <v>19129.916666666668</v>
      </c>
      <c r="C9" s="6">
        <v>19224.844444444443</v>
      </c>
      <c r="D9" s="6">
        <v>19191.82608695652</v>
      </c>
    </row>
    <row r="10" spans="1:4">
      <c r="A10" s="3" t="s">
        <v>69</v>
      </c>
      <c r="B10" s="6">
        <v>6686.5663265306121</v>
      </c>
      <c r="C10" s="6">
        <v>6380.5079365079364</v>
      </c>
      <c r="D10" s="6">
        <v>6502.931292517007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0B4A-2E67-426E-A73D-A04349B5179A}">
  <dimension ref="A1:B6"/>
  <sheetViews>
    <sheetView workbookViewId="0">
      <selection activeCell="A5" sqref="A4:B5"/>
    </sheetView>
  </sheetViews>
  <sheetFormatPr defaultRowHeight="14.4"/>
  <cols>
    <col min="1" max="1" width="12.5546875" bestFit="1" customWidth="1"/>
    <col min="2" max="3" width="15.88671875" bestFit="1" customWidth="1"/>
  </cols>
  <sheetData>
    <row r="1" spans="1:2">
      <c r="A1" s="2" t="s">
        <v>1</v>
      </c>
      <c r="B1" t="s">
        <v>35</v>
      </c>
    </row>
    <row r="3" spans="1:2">
      <c r="A3" s="2" t="s">
        <v>68</v>
      </c>
      <c r="B3" t="s">
        <v>78</v>
      </c>
    </row>
    <row r="4" spans="1:2">
      <c r="A4" s="3" t="s">
        <v>43</v>
      </c>
      <c r="B4" s="7">
        <v>110</v>
      </c>
    </row>
    <row r="5" spans="1:2">
      <c r="A5" s="3" t="s">
        <v>35</v>
      </c>
      <c r="B5" s="7">
        <v>127</v>
      </c>
    </row>
    <row r="6" spans="1:2">
      <c r="A6" s="3" t="s">
        <v>69</v>
      </c>
      <c r="B6" s="7">
        <v>237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DASHBOARD</vt:lpstr>
      <vt:lpstr>Salary Band</vt:lpstr>
      <vt:lpstr>Working Data</vt:lpstr>
      <vt:lpstr>Salary Analysis</vt:lpstr>
      <vt:lpstr>Performance</vt:lpstr>
      <vt:lpstr>Hiring Trends</vt:lpstr>
      <vt:lpstr>Gender Pay</vt:lpstr>
      <vt:lpstr>Overtime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sah</dc:creator>
  <cp:lastModifiedBy>ranjan sah</cp:lastModifiedBy>
  <dcterms:created xsi:type="dcterms:W3CDTF">2026-06-26T05:50:16Z</dcterms:created>
  <dcterms:modified xsi:type="dcterms:W3CDTF">2026-06-27T17:41:33Z</dcterms:modified>
</cp:coreProperties>
</file>